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ecnologia2\Dropbox\pool\"/>
    </mc:Choice>
  </mc:AlternateContent>
  <xr:revisionPtr revIDLastSave="0" documentId="8_{5CE7BFEC-A02F-46C1-87FE-485DBB14C9A3}" xr6:coauthVersionLast="47" xr6:coauthVersionMax="47" xr10:uidLastSave="{00000000-0000-0000-0000-000000000000}"/>
  <bookViews>
    <workbookView xWindow="-120" yWindow="-120" windowWidth="29040" windowHeight="15720" activeTab="1" xr2:uid="{9FBF68B9-CB83-4B49-9617-C7FBBD4A5CA0}"/>
  </bookViews>
  <sheets>
    <sheet name="Contratos Actuales" sheetId="1" r:id="rId1"/>
    <sheet name="Prestamos Personale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2" i="2" l="1"/>
  <c r="G31" i="2"/>
  <c r="G30" i="2"/>
  <c r="E29" i="2"/>
  <c r="G29" i="2" s="1"/>
  <c r="G28" i="2"/>
  <c r="E27" i="2"/>
  <c r="G27" i="2" s="1"/>
  <c r="D26" i="2"/>
  <c r="F26" i="2" s="1"/>
  <c r="G25" i="2"/>
  <c r="E24" i="2"/>
  <c r="G24" i="2" s="1"/>
  <c r="E23" i="2"/>
  <c r="G23" i="2" s="1"/>
  <c r="J22" i="2"/>
  <c r="E22" i="2"/>
  <c r="G22" i="2" s="1"/>
  <c r="G21" i="2"/>
  <c r="E21" i="2"/>
  <c r="G20" i="2"/>
  <c r="F20" i="2"/>
  <c r="G19" i="2"/>
  <c r="G18" i="2"/>
  <c r="J17" i="2"/>
  <c r="G17" i="2"/>
  <c r="F17" i="2"/>
  <c r="E16" i="2"/>
  <c r="G16" i="2" s="1"/>
  <c r="F16" i="2" s="1"/>
  <c r="J15" i="2"/>
  <c r="E15" i="2"/>
  <c r="G15" i="2" s="1"/>
  <c r="J14" i="2"/>
  <c r="K14" i="2" s="1"/>
  <c r="G14" i="2"/>
  <c r="F14" i="2"/>
  <c r="G13" i="2"/>
  <c r="F13" i="2"/>
  <c r="G12" i="2"/>
  <c r="F12" i="2"/>
  <c r="K11" i="2"/>
  <c r="G11" i="2"/>
  <c r="K10" i="2"/>
  <c r="N10" i="2" s="1"/>
  <c r="E10" i="2"/>
  <c r="D10" i="2"/>
  <c r="G10" i="2" s="1"/>
  <c r="F10" i="2" s="1"/>
  <c r="E9" i="2"/>
  <c r="G9" i="2" s="1"/>
  <c r="K8" i="2"/>
  <c r="G8" i="2"/>
  <c r="F8" i="2"/>
  <c r="N7" i="2"/>
  <c r="M7" i="2"/>
  <c r="E7" i="2"/>
  <c r="D7" i="2"/>
  <c r="G7" i="2" s="1"/>
  <c r="N6" i="2"/>
  <c r="M6" i="2"/>
  <c r="G6" i="2"/>
  <c r="U5" i="2"/>
  <c r="T5" i="2"/>
  <c r="N5" i="2"/>
  <c r="M5" i="2"/>
  <c r="G5" i="2"/>
  <c r="U2" i="2"/>
  <c r="T1" i="2"/>
  <c r="M1" i="2"/>
  <c r="L37" i="1"/>
  <c r="N37" i="1" s="1"/>
  <c r="O37" i="1" s="1"/>
  <c r="K37" i="1"/>
  <c r="L36" i="1"/>
  <c r="N36" i="1" s="1"/>
  <c r="O36" i="1" s="1"/>
  <c r="K36" i="1"/>
  <c r="L35" i="1"/>
  <c r="N35" i="1" s="1"/>
  <c r="O35" i="1" s="1"/>
  <c r="K35" i="1"/>
  <c r="L34" i="1"/>
  <c r="N34" i="1" s="1"/>
  <c r="O34" i="1" s="1"/>
  <c r="K34" i="1"/>
  <c r="L33" i="1"/>
  <c r="N33" i="1" s="1"/>
  <c r="O33" i="1" s="1"/>
  <c r="K33" i="1"/>
  <c r="L32" i="1"/>
  <c r="N32" i="1" s="1"/>
  <c r="O32" i="1" s="1"/>
  <c r="K32" i="1"/>
  <c r="N31" i="1"/>
  <c r="O31" i="1" s="1"/>
  <c r="L31" i="1"/>
  <c r="K31" i="1"/>
  <c r="L30" i="1"/>
  <c r="N30" i="1" s="1"/>
  <c r="O30" i="1" s="1"/>
  <c r="K30" i="1"/>
  <c r="L29" i="1"/>
  <c r="N29" i="1" s="1"/>
  <c r="O29" i="1" s="1"/>
  <c r="K29" i="1"/>
  <c r="V28" i="1"/>
  <c r="L28" i="1"/>
  <c r="N28" i="1" s="1"/>
  <c r="O28" i="1" s="1"/>
  <c r="K28" i="1"/>
  <c r="V27" i="1"/>
  <c r="N27" i="1"/>
  <c r="O27" i="1" s="1"/>
  <c r="L27" i="1"/>
  <c r="K27" i="1"/>
  <c r="W26" i="1"/>
  <c r="V26" i="1"/>
  <c r="U22" i="1" s="1"/>
  <c r="L26" i="1"/>
  <c r="N26" i="1" s="1"/>
  <c r="O26" i="1" s="1"/>
  <c r="K26" i="1"/>
  <c r="V25" i="1"/>
  <c r="L25" i="1"/>
  <c r="N25" i="1" s="1"/>
  <c r="O25" i="1" s="1"/>
  <c r="K25" i="1"/>
  <c r="V24" i="1"/>
  <c r="L24" i="1"/>
  <c r="N24" i="1" s="1"/>
  <c r="O24" i="1" s="1"/>
  <c r="K24" i="1"/>
  <c r="U23" i="1"/>
  <c r="L23" i="1"/>
  <c r="N23" i="1" s="1"/>
  <c r="O23" i="1" s="1"/>
  <c r="K23" i="1"/>
  <c r="N22" i="1"/>
  <c r="O22" i="1" s="1"/>
  <c r="L22" i="1"/>
  <c r="K22" i="1"/>
  <c r="L21" i="1"/>
  <c r="N21" i="1" s="1"/>
  <c r="O21" i="1" s="1"/>
  <c r="K21" i="1"/>
  <c r="L20" i="1"/>
  <c r="N20" i="1" s="1"/>
  <c r="O20" i="1" s="1"/>
  <c r="K20" i="1"/>
  <c r="L19" i="1"/>
  <c r="N19" i="1" s="1"/>
  <c r="O19" i="1" s="1"/>
  <c r="K19" i="1"/>
  <c r="L18" i="1"/>
  <c r="N18" i="1" s="1"/>
  <c r="O18" i="1" s="1"/>
  <c r="K18" i="1"/>
  <c r="L17" i="1"/>
  <c r="N17" i="1" s="1"/>
  <c r="O17" i="1" s="1"/>
  <c r="K17" i="1"/>
  <c r="L16" i="1"/>
  <c r="N16" i="1" s="1"/>
  <c r="O16" i="1" s="1"/>
  <c r="K16" i="1"/>
  <c r="N15" i="1"/>
  <c r="O15" i="1" s="1"/>
  <c r="L15" i="1"/>
  <c r="K15" i="1"/>
  <c r="S14" i="1"/>
  <c r="L14" i="1"/>
  <c r="N14" i="1" s="1"/>
  <c r="O14" i="1" s="1"/>
  <c r="K14" i="1"/>
  <c r="S13" i="1"/>
  <c r="L13" i="1"/>
  <c r="N13" i="1" s="1"/>
  <c r="O13" i="1" s="1"/>
  <c r="K13" i="1"/>
  <c r="S12" i="1"/>
  <c r="S11" i="1"/>
  <c r="S10" i="1"/>
  <c r="U4" i="1" s="1"/>
  <c r="U3" i="1" s="1"/>
  <c r="C7" i="1"/>
  <c r="D7" i="1" s="1"/>
  <c r="C6" i="1"/>
  <c r="D6" i="1" s="1"/>
  <c r="G5" i="1"/>
  <c r="E5" i="1"/>
  <c r="E7" i="1" s="1"/>
  <c r="C5" i="1"/>
  <c r="D5" i="1" s="1"/>
  <c r="G4" i="1"/>
  <c r="E4" i="1"/>
  <c r="F4" i="1" s="1"/>
  <c r="F5" i="1" s="1"/>
  <c r="C4" i="1"/>
  <c r="D4" i="1" s="1"/>
  <c r="C3" i="1"/>
  <c r="D3" i="1" s="1"/>
  <c r="C2" i="1"/>
  <c r="G8" i="1" s="1"/>
  <c r="J8" i="1" s="1"/>
  <c r="G2" i="2" l="1"/>
  <c r="F1" i="2"/>
  <c r="J27" i="2"/>
  <c r="J28" i="2" s="1"/>
  <c r="N2" i="2"/>
  <c r="O8" i="2"/>
  <c r="M8" i="2"/>
  <c r="N8" i="2"/>
  <c r="G26" i="2"/>
  <c r="K22" i="2" s="1"/>
  <c r="M10" i="2"/>
  <c r="D2" i="1"/>
  <c r="F2" i="1" s="1"/>
  <c r="E2" i="1"/>
  <c r="E6" i="1" s="1"/>
  <c r="G2" i="1"/>
  <c r="C8" i="1"/>
  <c r="D8" i="1" s="1"/>
  <c r="F3" i="1" l="1"/>
  <c r="F6" i="1"/>
  <c r="F7" i="1" s="1"/>
  <c r="G3" i="1"/>
  <c r="J7" i="1" s="1"/>
  <c r="K7" i="1" s="1"/>
  <c r="G6" i="1"/>
  <c r="G9" i="1" l="1"/>
  <c r="J9" i="1" s="1"/>
  <c r="G7" i="1"/>
</calcChain>
</file>

<file path=xl/sharedStrings.xml><?xml version="1.0" encoding="utf-8"?>
<sst xmlns="http://schemas.openxmlformats.org/spreadsheetml/2006/main" count="271" uniqueCount="163">
  <si>
    <t>CAPITAL</t>
  </si>
  <si>
    <t>INTERES</t>
  </si>
  <si>
    <t>SAMIR</t>
  </si>
  <si>
    <t>PRESTAMOS ORO</t>
  </si>
  <si>
    <t>YAMILE</t>
  </si>
  <si>
    <t>LAURA</t>
  </si>
  <si>
    <t>PRESTAMOS PERSONALES</t>
  </si>
  <si>
    <t>PRESTAMOS GIOVAN</t>
  </si>
  <si>
    <t>SOL</t>
  </si>
  <si>
    <t>MONICA</t>
  </si>
  <si>
    <t>KEVIN</t>
  </si>
  <si>
    <t>ANDERSON</t>
  </si>
  <si>
    <t>GIOVAN</t>
  </si>
  <si>
    <t>PRESTAMOS TOTALES</t>
  </si>
  <si>
    <t>TOTAL</t>
  </si>
  <si>
    <t>CAPITAL MIO</t>
  </si>
  <si>
    <t>YELITXA</t>
  </si>
  <si>
    <t>CAPITAL A REPONER</t>
  </si>
  <si>
    <t>DUVAN</t>
  </si>
  <si>
    <t>INTERESES</t>
  </si>
  <si>
    <t>EMPEÑO</t>
  </si>
  <si>
    <t>DUEÑO</t>
  </si>
  <si>
    <t>FECHA INI</t>
  </si>
  <si>
    <t>FECHA FIN</t>
  </si>
  <si>
    <t>#CONTRATO</t>
  </si>
  <si>
    <t xml:space="preserve">NOMBRE </t>
  </si>
  <si>
    <t>CEDULA</t>
  </si>
  <si>
    <t xml:space="preserve">PESO </t>
  </si>
  <si>
    <t>DESCRIPCIO</t>
  </si>
  <si>
    <t>MONTO</t>
  </si>
  <si>
    <t>PROMEDIO</t>
  </si>
  <si>
    <t>MESES</t>
  </si>
  <si>
    <t>TOTAL INTERES</t>
  </si>
  <si>
    <t>TOTAL RETROVENTA</t>
  </si>
  <si>
    <t>ESTADO</t>
  </si>
  <si>
    <t>29/JUL/2026</t>
  </si>
  <si>
    <t>29/DIC/2026</t>
  </si>
  <si>
    <t>JOHANA RAMIREZ</t>
  </si>
  <si>
    <t>1 CADENA LAZO,DIJE CORONA</t>
  </si>
  <si>
    <t>ACTIVO</t>
  </si>
  <si>
    <t>11/AGO/2026</t>
  </si>
  <si>
    <t>11/DIC/2026</t>
  </si>
  <si>
    <t>MORALES GREY</t>
  </si>
  <si>
    <t>ANILLO HOMBRE PIEDRAS</t>
  </si>
  <si>
    <t>COMPRA</t>
  </si>
  <si>
    <t>10/JUN/2026</t>
  </si>
  <si>
    <t>10/OCT/2026</t>
  </si>
  <si>
    <t>DIXON CABRERA</t>
  </si>
  <si>
    <t>2 PULSERAS</t>
  </si>
  <si>
    <t>5/SEP/2026</t>
  </si>
  <si>
    <t>5/ENE/2026</t>
  </si>
  <si>
    <t>ANDRES PATIÑO</t>
  </si>
  <si>
    <t>1 PULSERA BALINES</t>
  </si>
  <si>
    <t>12/JUN/2026</t>
  </si>
  <si>
    <t>12/OCT/2026</t>
  </si>
  <si>
    <t>JULIAN LAVERDE</t>
  </si>
  <si>
    <t xml:space="preserve">PULSERA CUBANA </t>
  </si>
  <si>
    <t>BALINES COMPRA</t>
  </si>
  <si>
    <t>VENCIDO</t>
  </si>
  <si>
    <t>19/AGO/2026</t>
  </si>
  <si>
    <t>19/DIC/2026</t>
  </si>
  <si>
    <t>ALBA GARCIA</t>
  </si>
  <si>
    <t>ANILLO ALBA</t>
  </si>
  <si>
    <t>26/ENE/2026</t>
  </si>
  <si>
    <t>26/SEP/2026</t>
  </si>
  <si>
    <t>LUIS MONROY</t>
  </si>
  <si>
    <t>1 ARGOLLA MARCADA</t>
  </si>
  <si>
    <t>29/AGO/2026</t>
  </si>
  <si>
    <t>DANIEL RUINQUE</t>
  </si>
  <si>
    <t>UNA CADENA ESPEJO 3 OROS</t>
  </si>
  <si>
    <t>31/ENE/2026</t>
  </si>
  <si>
    <t>31/AGO/2026</t>
  </si>
  <si>
    <t>JUAN ARBELODA</t>
  </si>
  <si>
    <t>1 ANILLO GRADOS</t>
  </si>
  <si>
    <t>RETIRADO</t>
  </si>
  <si>
    <t>30/JUL/2026</t>
  </si>
  <si>
    <t>30/NOV/2026</t>
  </si>
  <si>
    <t>FELIPE ESPAÑA</t>
  </si>
  <si>
    <t>CADENA TJ PLANA 3 OROS Y DIJE CRISTO</t>
  </si>
  <si>
    <t>PRESTAMOS SOLANGER</t>
  </si>
  <si>
    <t>27/JUL/2026</t>
  </si>
  <si>
    <t>27/NOV/2026</t>
  </si>
  <si>
    <t>PIEDAD GARCIA</t>
  </si>
  <si>
    <t>1 PAR DE ARETAS, 1 PAR TOPOD</t>
  </si>
  <si>
    <t>13/AGO/2026</t>
  </si>
  <si>
    <t>13/DIC/2026</t>
  </si>
  <si>
    <t>KAREN MONTOYA</t>
  </si>
  <si>
    <t>CADENA PLANA,DIJE Z</t>
  </si>
  <si>
    <t>CAMILO</t>
  </si>
  <si>
    <t>15/AGO/2026</t>
  </si>
  <si>
    <t>15/DIC/2026</t>
  </si>
  <si>
    <t>LUZ QUINTERO</t>
  </si>
  <si>
    <t>UNA ARGOLLA LISA</t>
  </si>
  <si>
    <t>12/AGO/2026</t>
  </si>
  <si>
    <t>12/DIC/2026</t>
  </si>
  <si>
    <t>CADENA TJ 3X1</t>
  </si>
  <si>
    <t>DIEGO</t>
  </si>
  <si>
    <t>3/DIC/2025</t>
  </si>
  <si>
    <t>3/SEP/2026</t>
  </si>
  <si>
    <t>SEBASTIAN CASTAÑO</t>
  </si>
  <si>
    <t>1 ANILLO, 2 CADENAS, 1 TOPO,2 DIJES</t>
  </si>
  <si>
    <t>24/NOV/2025</t>
  </si>
  <si>
    <t>24/SEP/2026</t>
  </si>
  <si>
    <t>FRANCY SINISTERRA</t>
  </si>
  <si>
    <t>4 ANILLOS, 3 BLANCOS,1 AMARILLO</t>
  </si>
  <si>
    <t>3/JUN/2026</t>
  </si>
  <si>
    <t>3/OCT/2026</t>
  </si>
  <si>
    <t>ALEXANDER MONTOYA</t>
  </si>
  <si>
    <t>ANILLO BIMBO 10KTS</t>
  </si>
  <si>
    <t>25/AGO/2026</t>
  </si>
  <si>
    <t>25/DIC/2026</t>
  </si>
  <si>
    <t>MARGARITA HOYOS</t>
  </si>
  <si>
    <t>PULSERA REVENTADA Y PAR DE TOPOS</t>
  </si>
  <si>
    <t>SEBASTIAN JARAMILLO</t>
  </si>
  <si>
    <t>RELOJ CARTIER REF:931609FY</t>
  </si>
  <si>
    <t>29/NOV/2026</t>
  </si>
  <si>
    <t>1 CADENA LAZO,DIJE CORONA ANILLO</t>
  </si>
  <si>
    <t xml:space="preserve">1 CADENA LAZO,DIJE CORONA </t>
  </si>
  <si>
    <t>TULIO RENDON</t>
  </si>
  <si>
    <t>CADENA MILITAR Y DIJE VIRGEN</t>
  </si>
  <si>
    <t>CADENA MILITAR,DIJE V,CADENA LAZO</t>
  </si>
  <si>
    <t>4/FEB/2026</t>
  </si>
  <si>
    <t>4/JUN/2026</t>
  </si>
  <si>
    <t>JORGE ARBELAEZ</t>
  </si>
  <si>
    <t>UNA ARGOLLA MARCADA</t>
  </si>
  <si>
    <t xml:space="preserve">   </t>
  </si>
  <si>
    <t xml:space="preserve">         </t>
  </si>
  <si>
    <t>SALDO</t>
  </si>
  <si>
    <t>MAMÁ</t>
  </si>
  <si>
    <t>FECHA</t>
  </si>
  <si>
    <t>NOMBRE</t>
  </si>
  <si>
    <t>ABONO</t>
  </si>
  <si>
    <t>JOSE BARBERO</t>
  </si>
  <si>
    <t>WICHO</t>
  </si>
  <si>
    <t>YAJAIRA</t>
  </si>
  <si>
    <t>RANDY BARBERO</t>
  </si>
  <si>
    <t>AMPARO</t>
  </si>
  <si>
    <t>JHOAN CACERES</t>
  </si>
  <si>
    <t>LAURA ACOSTA</t>
  </si>
  <si>
    <t>COMPRA ORO</t>
  </si>
  <si>
    <t xml:space="preserve">LINA </t>
  </si>
  <si>
    <t>WALTER</t>
  </si>
  <si>
    <t>ERICA</t>
  </si>
  <si>
    <t>FRANCHESCO</t>
  </si>
  <si>
    <t>TEACHER</t>
  </si>
  <si>
    <t>ORO</t>
  </si>
  <si>
    <t>MAURICIO</t>
  </si>
  <si>
    <t>SEBASTIAN POLO</t>
  </si>
  <si>
    <t>DANIELA</t>
  </si>
  <si>
    <t xml:space="preserve">       </t>
  </si>
  <si>
    <t>DUVAN D</t>
  </si>
  <si>
    <t>YOFREI</t>
  </si>
  <si>
    <t>MAURO</t>
  </si>
  <si>
    <t>EDDER</t>
  </si>
  <si>
    <t>MARIA FERNANDA</t>
  </si>
  <si>
    <t>YELITZA</t>
  </si>
  <si>
    <t>DOÑA AMPARO</t>
  </si>
  <si>
    <t xml:space="preserve">MONICA </t>
  </si>
  <si>
    <t>MUJER BARBERO</t>
  </si>
  <si>
    <t>ANDREA RAMOS</t>
  </si>
  <si>
    <t>FEDERICO</t>
  </si>
  <si>
    <t>DANIELA DURANGO</t>
  </si>
  <si>
    <t>NELBY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</si>
</sst>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64" fontId="2" fillId="2" borderId="0" xfId="1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3" fillId="2" borderId="0" xfId="1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164" fontId="3" fillId="5" borderId="0" xfId="1" applyNumberFormat="1" applyFont="1" applyFill="1" applyAlignment="1">
      <alignment horizontal="center" vertical="center"/>
    </xf>
    <xf numFmtId="9" fontId="2" fillId="2" borderId="0" xfId="2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9" fontId="5" fillId="2" borderId="0" xfId="2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indent="1"/>
    </xf>
    <xf numFmtId="164" fontId="4" fillId="2" borderId="1" xfId="1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64" fontId="4" fillId="2" borderId="0" xfId="1" applyNumberFormat="1" applyFont="1" applyFill="1" applyAlignment="1">
      <alignment horizontal="center" vertical="center"/>
    </xf>
    <xf numFmtId="14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indent="1"/>
    </xf>
    <xf numFmtId="164" fontId="6" fillId="2" borderId="1" xfId="1" applyNumberFormat="1" applyFont="1" applyFill="1" applyBorder="1" applyAlignment="1">
      <alignment horizontal="center" vertical="center"/>
    </xf>
    <xf numFmtId="164" fontId="5" fillId="2" borderId="0" xfId="1" applyNumberFormat="1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inden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INVENTARIO%20PERSONAL.xlsx" TargetMode="External"/><Relationship Id="rId2" Type="http://schemas.openxmlformats.org/officeDocument/2006/relationships/externalLinkPath" Target="file:///C:\Users\atecnologia2\Downloads\INVENTARIO%20PERSONAL.xlsx" TargetMode="External"/><Relationship Id="rId1" Type="http://schemas.openxmlformats.org/officeDocument/2006/relationships/externalLinkPath" Target="/Users/atecnologia2/Downloads/INVENTARIO%20PERS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JA"/>
      <sheetName val="INVENTARIO"/>
      <sheetName val="COMPRAVENTA"/>
      <sheetName val="PRESTAMOS PERSONALES"/>
      <sheetName val="MANUEL"/>
      <sheetName val="FACT HEILY"/>
      <sheetName val="CONTRATOS SAN ANTONIO"/>
      <sheetName val="CASA "/>
      <sheetName val="CREDITO BANCO"/>
      <sheetName val="CONTRATOS ACTUALES"/>
    </sheetNames>
    <sheetDataSet>
      <sheetData sheetId="0"/>
      <sheetData sheetId="1"/>
      <sheetData sheetId="2"/>
      <sheetData sheetId="3">
        <row r="22">
          <cell r="J22">
            <v>1240000</v>
          </cell>
          <cell r="K22">
            <v>29000000</v>
          </cell>
        </row>
      </sheetData>
      <sheetData sheetId="4"/>
      <sheetData sheetId="5"/>
      <sheetData sheetId="6"/>
      <sheetData sheetId="7"/>
      <sheetData sheetId="8"/>
      <sheetData sheetId="9">
        <row r="2">
          <cell r="F2">
            <v>2550800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D3AC-B97C-4C17-8393-6336DDEC4C26}">
  <dimension ref="B1:W39"/>
  <sheetViews>
    <sheetView workbookViewId="0">
      <selection activeCell="J42" sqref="J42"/>
    </sheetView>
  </sheetViews>
  <sheetFormatPr baseColWidth="10" defaultColWidth="11.5703125" defaultRowHeight="12.75" x14ac:dyDescent="0.25"/>
  <cols>
    <col min="1" max="1" width="0.5703125" style="1" customWidth="1"/>
    <col min="2" max="2" width="10.42578125" style="1" bestFit="1" customWidth="1"/>
    <col min="3" max="3" width="12.7109375" style="35" bestFit="1" customWidth="1"/>
    <col min="4" max="4" width="12" style="35" bestFit="1" customWidth="1"/>
    <col min="5" max="5" width="12.28515625" style="1" bestFit="1" customWidth="1"/>
    <col min="6" max="6" width="21.7109375" style="1" bestFit="1" customWidth="1"/>
    <col min="7" max="7" width="13.7109375" style="1" bestFit="1" customWidth="1"/>
    <col min="8" max="8" width="6.28515625" style="1" bestFit="1" customWidth="1"/>
    <col min="9" max="9" width="37.140625" style="4" bestFit="1" customWidth="1"/>
    <col min="10" max="10" width="12.7109375" style="5" bestFit="1" customWidth="1"/>
    <col min="11" max="11" width="11.7109375" style="5" bestFit="1" customWidth="1"/>
    <col min="12" max="12" width="11.140625" style="5" bestFit="1" customWidth="1"/>
    <col min="13" max="13" width="7.28515625" style="1" bestFit="1" customWidth="1"/>
    <col min="14" max="14" width="15.42578125" style="1" bestFit="1" customWidth="1"/>
    <col min="15" max="15" width="20.28515625" style="1" bestFit="1" customWidth="1"/>
    <col min="16" max="16" width="10" style="1" bestFit="1" customWidth="1"/>
    <col min="17" max="17" width="2.5703125" style="1" customWidth="1"/>
    <col min="18" max="18" width="11.5703125" style="1"/>
    <col min="19" max="19" width="14.140625" style="5" bestFit="1" customWidth="1"/>
    <col min="20" max="20" width="11.5703125" style="1"/>
    <col min="21" max="21" width="12.7109375" style="1" bestFit="1" customWidth="1"/>
    <col min="22" max="16384" width="11.5703125" style="1"/>
  </cols>
  <sheetData>
    <row r="1" spans="2:21" x14ac:dyDescent="0.25">
      <c r="C1" s="2" t="s">
        <v>0</v>
      </c>
      <c r="D1" s="3" t="s">
        <v>1</v>
      </c>
      <c r="S1" s="1"/>
    </row>
    <row r="2" spans="2:21" x14ac:dyDescent="0.25">
      <c r="B2" s="6" t="s">
        <v>2</v>
      </c>
      <c r="C2" s="5">
        <f>SUMIF($B$13:$B$1009,"SAMIR",$J$13:$J$10009)-J33</f>
        <v>29100000</v>
      </c>
      <c r="D2" s="7">
        <f>C2*C10</f>
        <v>2037000.0000000002</v>
      </c>
      <c r="E2" s="7">
        <f>((C4+C5+C7)*E10)+100000</f>
        <v>513800</v>
      </c>
      <c r="F2" s="8">
        <f>D2+E2</f>
        <v>2550800</v>
      </c>
      <c r="G2" s="9">
        <f>SUM(C2:C7)</f>
        <v>74720000</v>
      </c>
      <c r="I2" s="4" t="s">
        <v>3</v>
      </c>
      <c r="S2" s="1"/>
    </row>
    <row r="3" spans="2:21" x14ac:dyDescent="0.25">
      <c r="B3" s="6" t="s">
        <v>4</v>
      </c>
      <c r="C3" s="5">
        <f>SUMIF($B$13:$B$1009,"YAMILE",$J$13:$J$10009)</f>
        <v>19730000</v>
      </c>
      <c r="D3" s="7">
        <f>C3*C10</f>
        <v>1381100.0000000002</v>
      </c>
      <c r="E3" s="10">
        <v>3136</v>
      </c>
      <c r="F3" s="10">
        <f>F2/E3</f>
        <v>813.39285714285711</v>
      </c>
      <c r="G3" s="10">
        <f>G2/E3</f>
        <v>23826.530612244896</v>
      </c>
      <c r="S3" s="1"/>
      <c r="U3" s="9">
        <f>U4*D10</f>
        <v>1251000</v>
      </c>
    </row>
    <row r="4" spans="2:21" x14ac:dyDescent="0.25">
      <c r="B4" s="6" t="s">
        <v>5</v>
      </c>
      <c r="C4" s="5">
        <f>SUMIF($B$13:$B$1009,"LAURA",$J$13:$J$10009)</f>
        <v>5870000</v>
      </c>
      <c r="D4" s="7">
        <f>C4*D10</f>
        <v>293500</v>
      </c>
      <c r="E4" s="5">
        <f>'[1]PRESTAMOS PERSONALES'!J22</f>
        <v>1240000</v>
      </c>
      <c r="F4" s="5">
        <f>E4+W26</f>
        <v>1340000</v>
      </c>
      <c r="G4" s="5">
        <f>('[1]PRESTAMOS PERSONALES'!K22)+S5+S6+S7+S8+S9+S25+S26+S27</f>
        <v>50000000</v>
      </c>
      <c r="I4" s="4" t="s">
        <v>6</v>
      </c>
      <c r="S4" s="11" t="s">
        <v>7</v>
      </c>
      <c r="T4" s="11"/>
      <c r="U4" s="12">
        <f>SUM(S5:S16)</f>
        <v>25020000</v>
      </c>
    </row>
    <row r="5" spans="2:21" x14ac:dyDescent="0.25">
      <c r="B5" s="6" t="s">
        <v>8</v>
      </c>
      <c r="C5" s="5">
        <f>SUMIF($B$13:$B$1009,"SOL",$J$13:$J$10009)</f>
        <v>2300000</v>
      </c>
      <c r="D5" s="7">
        <f>C5*D10</f>
        <v>115000</v>
      </c>
      <c r="E5" s="10">
        <f>E3</f>
        <v>3136</v>
      </c>
      <c r="F5" s="10">
        <f>F4/E5</f>
        <v>427.29591836734693</v>
      </c>
      <c r="G5" s="10">
        <f>G4/E5</f>
        <v>15943.877551020409</v>
      </c>
      <c r="S5" s="13">
        <v>2000000</v>
      </c>
      <c r="T5" s="14" t="s">
        <v>9</v>
      </c>
      <c r="U5" s="15">
        <v>46178</v>
      </c>
    </row>
    <row r="6" spans="2:21" x14ac:dyDescent="0.25">
      <c r="B6" s="6" t="s">
        <v>10</v>
      </c>
      <c r="C6" s="5">
        <f>SUMIF($B$13:$B$1009,"KEVIN",$J$13:$J$10009)-J22</f>
        <v>5200000</v>
      </c>
      <c r="D6" s="7">
        <f>C6*C10</f>
        <v>364000.00000000006</v>
      </c>
      <c r="E6" s="7">
        <f>E2+E4</f>
        <v>1753800</v>
      </c>
      <c r="F6" s="7">
        <f>F2+F4</f>
        <v>3890800</v>
      </c>
      <c r="G6" s="7">
        <f t="shared" ref="G6" si="0">G2+G4</f>
        <v>124720000</v>
      </c>
      <c r="S6" s="13">
        <v>1500000</v>
      </c>
      <c r="T6" s="14" t="s">
        <v>11</v>
      </c>
      <c r="U6" s="15">
        <v>46133</v>
      </c>
    </row>
    <row r="7" spans="2:21" x14ac:dyDescent="0.25">
      <c r="B7" s="6" t="s">
        <v>12</v>
      </c>
      <c r="C7" s="5">
        <f>SUMIF($B$13:$B$1009,"GIOVAN",$J$13:$J$10009)</f>
        <v>12520000</v>
      </c>
      <c r="D7" s="7">
        <f>C7*D10</f>
        <v>626000</v>
      </c>
      <c r="E7" s="10">
        <f>E5</f>
        <v>3136</v>
      </c>
      <c r="F7" s="10">
        <f>F6/E7</f>
        <v>1240.6887755102041</v>
      </c>
      <c r="G7" s="10">
        <f>G6/E7</f>
        <v>39770.408163265303</v>
      </c>
      <c r="I7" s="4" t="s">
        <v>13</v>
      </c>
      <c r="J7" s="16">
        <f>(G3*C10)+(G5*D10)</f>
        <v>2465.0510204081634</v>
      </c>
      <c r="K7" s="16">
        <f>J7*E7</f>
        <v>7730400</v>
      </c>
      <c r="S7" s="13">
        <v>5000000</v>
      </c>
      <c r="T7" s="14" t="s">
        <v>11</v>
      </c>
      <c r="U7" s="15">
        <v>46178</v>
      </c>
    </row>
    <row r="8" spans="2:21" x14ac:dyDescent="0.25">
      <c r="B8" s="6" t="s">
        <v>14</v>
      </c>
      <c r="C8" s="5">
        <f>SUM(C2:C7)</f>
        <v>74720000</v>
      </c>
      <c r="D8" s="7">
        <f>C8*C10</f>
        <v>5230400.0000000009</v>
      </c>
      <c r="G8" s="7">
        <f>C2+'[1]PRESTAMOS PERSONALES'!K22</f>
        <v>58100000</v>
      </c>
      <c r="I8" s="4" t="s">
        <v>15</v>
      </c>
      <c r="J8" s="10">
        <f>G8/E7</f>
        <v>18526.785714285714</v>
      </c>
      <c r="S8" s="13">
        <v>3000000</v>
      </c>
      <c r="T8" s="14" t="s">
        <v>16</v>
      </c>
      <c r="U8" s="15">
        <v>46246</v>
      </c>
    </row>
    <row r="9" spans="2:21" x14ac:dyDescent="0.25">
      <c r="C9" s="1"/>
      <c r="D9" s="1"/>
      <c r="G9" s="7">
        <f>G6-G8</f>
        <v>66620000</v>
      </c>
      <c r="I9" s="4" t="s">
        <v>17</v>
      </c>
      <c r="J9" s="10">
        <f>G9/E7</f>
        <v>21243.622448979593</v>
      </c>
      <c r="S9" s="13">
        <v>1000000</v>
      </c>
      <c r="T9" s="14" t="s">
        <v>18</v>
      </c>
      <c r="U9" s="15">
        <v>46092</v>
      </c>
    </row>
    <row r="10" spans="2:21" x14ac:dyDescent="0.25">
      <c r="B10" s="1" t="s">
        <v>19</v>
      </c>
      <c r="C10" s="17">
        <v>7.0000000000000007E-2</v>
      </c>
      <c r="D10" s="17">
        <v>0.05</v>
      </c>
      <c r="E10" s="17">
        <v>0.02</v>
      </c>
      <c r="I10" s="1"/>
      <c r="J10" s="1"/>
      <c r="K10" s="1"/>
      <c r="L10" s="1"/>
      <c r="S10" s="13">
        <f>J13</f>
        <v>5000000</v>
      </c>
      <c r="T10" s="14" t="s">
        <v>20</v>
      </c>
      <c r="U10" s="15">
        <v>46232</v>
      </c>
    </row>
    <row r="11" spans="2:21" x14ac:dyDescent="0.25">
      <c r="C11" s="1"/>
      <c r="D11" s="1"/>
      <c r="I11" s="1"/>
      <c r="J11" s="1"/>
      <c r="K11" s="1"/>
      <c r="L11" s="1"/>
      <c r="S11" s="13">
        <f>J14</f>
        <v>1000000</v>
      </c>
      <c r="T11" s="14" t="s">
        <v>20</v>
      </c>
      <c r="U11" s="15">
        <v>46246</v>
      </c>
    </row>
    <row r="12" spans="2:21" x14ac:dyDescent="0.25">
      <c r="B12" s="18" t="s">
        <v>21</v>
      </c>
      <c r="C12" s="18" t="s">
        <v>22</v>
      </c>
      <c r="D12" s="18" t="s">
        <v>23</v>
      </c>
      <c r="E12" s="18" t="s">
        <v>24</v>
      </c>
      <c r="F12" s="18" t="s">
        <v>25</v>
      </c>
      <c r="G12" s="18" t="s">
        <v>26</v>
      </c>
      <c r="H12" s="18" t="s">
        <v>27</v>
      </c>
      <c r="I12" s="18" t="s">
        <v>28</v>
      </c>
      <c r="J12" s="18" t="s">
        <v>29</v>
      </c>
      <c r="K12" s="18" t="s">
        <v>30</v>
      </c>
      <c r="L12" s="18" t="s">
        <v>19</v>
      </c>
      <c r="M12" s="18" t="s">
        <v>31</v>
      </c>
      <c r="N12" s="18" t="s">
        <v>32</v>
      </c>
      <c r="O12" s="18" t="s">
        <v>33</v>
      </c>
      <c r="P12" s="18" t="s">
        <v>34</v>
      </c>
      <c r="S12" s="13">
        <f>J15</f>
        <v>1400000</v>
      </c>
      <c r="T12" s="14" t="s">
        <v>20</v>
      </c>
      <c r="U12" s="15">
        <v>46183</v>
      </c>
    </row>
    <row r="13" spans="2:21" x14ac:dyDescent="0.25">
      <c r="B13" s="19" t="s">
        <v>12</v>
      </c>
      <c r="C13" s="20" t="s">
        <v>35</v>
      </c>
      <c r="D13" s="21" t="s">
        <v>36</v>
      </c>
      <c r="E13" s="14">
        <v>1212</v>
      </c>
      <c r="F13" s="19" t="s">
        <v>37</v>
      </c>
      <c r="G13" s="19">
        <v>42800435</v>
      </c>
      <c r="H13" s="14">
        <v>30</v>
      </c>
      <c r="I13" s="19" t="s">
        <v>38</v>
      </c>
      <c r="J13" s="13">
        <v>5000000</v>
      </c>
      <c r="K13" s="13">
        <f t="shared" ref="K13:K26" si="1">J13/H13</f>
        <v>166666.66666666666</v>
      </c>
      <c r="L13" s="13">
        <f t="shared" ref="L13:L37" si="2">J13*$C$10</f>
        <v>350000.00000000006</v>
      </c>
      <c r="M13" s="14">
        <v>1</v>
      </c>
      <c r="N13" s="22">
        <f t="shared" ref="N13:N37" si="3">L13*M13</f>
        <v>350000.00000000006</v>
      </c>
      <c r="O13" s="22">
        <f t="shared" ref="O13:O37" si="4">J13+N13</f>
        <v>5350000</v>
      </c>
      <c r="P13" s="14" t="s">
        <v>39</v>
      </c>
      <c r="S13" s="13">
        <f>J17</f>
        <v>1320000</v>
      </c>
      <c r="T13" s="14" t="s">
        <v>20</v>
      </c>
      <c r="U13" s="15">
        <v>46185</v>
      </c>
    </row>
    <row r="14" spans="2:21" x14ac:dyDescent="0.25">
      <c r="B14" s="19" t="s">
        <v>12</v>
      </c>
      <c r="C14" s="20" t="s">
        <v>40</v>
      </c>
      <c r="D14" s="21" t="s">
        <v>41</v>
      </c>
      <c r="E14" s="14">
        <v>1222</v>
      </c>
      <c r="F14" s="19" t="s">
        <v>42</v>
      </c>
      <c r="G14" s="19">
        <v>15436921</v>
      </c>
      <c r="H14" s="14">
        <v>5.3</v>
      </c>
      <c r="I14" s="19" t="s">
        <v>43</v>
      </c>
      <c r="J14" s="13">
        <v>1000000</v>
      </c>
      <c r="K14" s="13">
        <f t="shared" si="1"/>
        <v>188679.24528301888</v>
      </c>
      <c r="L14" s="13">
        <f t="shared" si="2"/>
        <v>70000</v>
      </c>
      <c r="M14" s="14">
        <v>0</v>
      </c>
      <c r="N14" s="22">
        <f t="shared" si="3"/>
        <v>0</v>
      </c>
      <c r="O14" s="22">
        <f t="shared" si="4"/>
        <v>1000000</v>
      </c>
      <c r="P14" s="14" t="s">
        <v>39</v>
      </c>
      <c r="S14" s="13">
        <f>J18</f>
        <v>1900000</v>
      </c>
      <c r="T14" s="14" t="s">
        <v>44</v>
      </c>
      <c r="U14" s="15">
        <v>46191</v>
      </c>
    </row>
    <row r="15" spans="2:21" x14ac:dyDescent="0.25">
      <c r="B15" s="19" t="s">
        <v>12</v>
      </c>
      <c r="C15" s="20" t="s">
        <v>45</v>
      </c>
      <c r="D15" s="21" t="s">
        <v>46</v>
      </c>
      <c r="E15" s="14">
        <v>1175</v>
      </c>
      <c r="F15" s="19" t="s">
        <v>47</v>
      </c>
      <c r="G15" s="19">
        <v>1005370391</v>
      </c>
      <c r="H15" s="14">
        <v>4.76</v>
      </c>
      <c r="I15" s="19" t="s">
        <v>48</v>
      </c>
      <c r="J15" s="13">
        <v>1400000</v>
      </c>
      <c r="K15" s="13">
        <f t="shared" si="1"/>
        <v>294117.64705882355</v>
      </c>
      <c r="L15" s="13">
        <f t="shared" si="2"/>
        <v>98000.000000000015</v>
      </c>
      <c r="M15" s="14">
        <v>0</v>
      </c>
      <c r="N15" s="22">
        <f t="shared" si="3"/>
        <v>0</v>
      </c>
      <c r="O15" s="22">
        <f t="shared" si="4"/>
        <v>1400000</v>
      </c>
      <c r="P15" s="14" t="s">
        <v>39</v>
      </c>
      <c r="S15" s="13">
        <v>1200000</v>
      </c>
      <c r="T15" s="14" t="s">
        <v>20</v>
      </c>
      <c r="U15" s="15">
        <v>46270</v>
      </c>
    </row>
    <row r="16" spans="2:21" x14ac:dyDescent="0.25">
      <c r="B16" s="19" t="s">
        <v>12</v>
      </c>
      <c r="C16" s="20" t="s">
        <v>49</v>
      </c>
      <c r="D16" s="21" t="s">
        <v>50</v>
      </c>
      <c r="E16" s="14">
        <v>1241</v>
      </c>
      <c r="F16" s="19" t="s">
        <v>51</v>
      </c>
      <c r="G16" s="19">
        <v>15389265</v>
      </c>
      <c r="H16" s="14">
        <v>5</v>
      </c>
      <c r="I16" s="19" t="s">
        <v>52</v>
      </c>
      <c r="J16" s="13">
        <v>1200000</v>
      </c>
      <c r="K16" s="13">
        <f t="shared" si="1"/>
        <v>240000</v>
      </c>
      <c r="L16" s="13">
        <f t="shared" si="2"/>
        <v>84000.000000000015</v>
      </c>
      <c r="M16" s="14">
        <v>0</v>
      </c>
      <c r="N16" s="22">
        <f t="shared" si="3"/>
        <v>0</v>
      </c>
      <c r="O16" s="22">
        <f t="shared" si="4"/>
        <v>1200000</v>
      </c>
      <c r="P16" s="14" t="s">
        <v>39</v>
      </c>
      <c r="S16" s="13">
        <v>700000</v>
      </c>
      <c r="T16" s="14" t="s">
        <v>20</v>
      </c>
      <c r="U16" s="15">
        <v>46253</v>
      </c>
    </row>
    <row r="17" spans="2:23" x14ac:dyDescent="0.25">
      <c r="B17" s="19" t="s">
        <v>12</v>
      </c>
      <c r="C17" s="20" t="s">
        <v>53</v>
      </c>
      <c r="D17" s="21" t="s">
        <v>54</v>
      </c>
      <c r="E17" s="14">
        <v>1176</v>
      </c>
      <c r="F17" s="19" t="s">
        <v>55</v>
      </c>
      <c r="G17" s="19">
        <v>103270697</v>
      </c>
      <c r="H17" s="14">
        <v>4.4000000000000004</v>
      </c>
      <c r="I17" s="19" t="s">
        <v>56</v>
      </c>
      <c r="J17" s="13">
        <v>1320000</v>
      </c>
      <c r="K17" s="13">
        <f t="shared" si="1"/>
        <v>300000</v>
      </c>
      <c r="L17" s="13">
        <f t="shared" si="2"/>
        <v>92400.000000000015</v>
      </c>
      <c r="M17" s="14">
        <v>0</v>
      </c>
      <c r="N17" s="22">
        <f t="shared" si="3"/>
        <v>0</v>
      </c>
      <c r="O17" s="22">
        <f t="shared" si="4"/>
        <v>1320000</v>
      </c>
      <c r="P17" s="14" t="s">
        <v>39</v>
      </c>
    </row>
    <row r="18" spans="2:23" x14ac:dyDescent="0.25">
      <c r="B18" s="23" t="s">
        <v>12</v>
      </c>
      <c r="C18" s="24" t="s">
        <v>53</v>
      </c>
      <c r="D18" s="25" t="s">
        <v>54</v>
      </c>
      <c r="E18" s="26">
        <v>1176</v>
      </c>
      <c r="F18" s="23" t="s">
        <v>55</v>
      </c>
      <c r="G18" s="23">
        <v>103270697</v>
      </c>
      <c r="H18" s="26">
        <v>6.5</v>
      </c>
      <c r="I18" s="23" t="s">
        <v>57</v>
      </c>
      <c r="J18" s="27">
        <v>1900000</v>
      </c>
      <c r="K18" s="27">
        <f t="shared" si="1"/>
        <v>292307.69230769231</v>
      </c>
      <c r="L18" s="27">
        <f t="shared" si="2"/>
        <v>133000</v>
      </c>
      <c r="M18" s="26">
        <v>0</v>
      </c>
      <c r="N18" s="28">
        <f t="shared" si="3"/>
        <v>0</v>
      </c>
      <c r="O18" s="28">
        <f t="shared" si="4"/>
        <v>1900000</v>
      </c>
      <c r="P18" s="26" t="s">
        <v>58</v>
      </c>
    </row>
    <row r="19" spans="2:23" x14ac:dyDescent="0.25">
      <c r="B19" s="19" t="s">
        <v>12</v>
      </c>
      <c r="C19" s="20" t="s">
        <v>59</v>
      </c>
      <c r="D19" s="21" t="s">
        <v>60</v>
      </c>
      <c r="E19" s="14">
        <v>1230</v>
      </c>
      <c r="F19" s="19" t="s">
        <v>61</v>
      </c>
      <c r="G19" s="19">
        <v>32501547</v>
      </c>
      <c r="H19" s="14">
        <v>6</v>
      </c>
      <c r="I19" s="19" t="s">
        <v>62</v>
      </c>
      <c r="J19" s="13">
        <v>700000</v>
      </c>
      <c r="K19" s="13">
        <f t="shared" si="1"/>
        <v>116666.66666666667</v>
      </c>
      <c r="L19" s="13">
        <f t="shared" si="2"/>
        <v>49000.000000000007</v>
      </c>
      <c r="M19" s="14">
        <v>0</v>
      </c>
      <c r="N19" s="22">
        <f t="shared" si="3"/>
        <v>0</v>
      </c>
      <c r="O19" s="22">
        <f t="shared" si="4"/>
        <v>700000</v>
      </c>
      <c r="P19" s="14" t="s">
        <v>39</v>
      </c>
    </row>
    <row r="20" spans="2:23" x14ac:dyDescent="0.25">
      <c r="B20" s="19" t="s">
        <v>10</v>
      </c>
      <c r="C20" s="20" t="s">
        <v>63</v>
      </c>
      <c r="D20" s="21" t="s">
        <v>64</v>
      </c>
      <c r="E20" s="14">
        <v>1084</v>
      </c>
      <c r="F20" s="19" t="s">
        <v>65</v>
      </c>
      <c r="G20" s="19">
        <v>79453861</v>
      </c>
      <c r="H20" s="14">
        <v>5.9</v>
      </c>
      <c r="I20" s="19" t="s">
        <v>66</v>
      </c>
      <c r="J20" s="13">
        <v>1900000</v>
      </c>
      <c r="K20" s="13">
        <f t="shared" si="1"/>
        <v>322033.89830508473</v>
      </c>
      <c r="L20" s="13">
        <f t="shared" si="2"/>
        <v>133000</v>
      </c>
      <c r="M20" s="14">
        <v>3</v>
      </c>
      <c r="N20" s="22">
        <f t="shared" si="3"/>
        <v>399000</v>
      </c>
      <c r="O20" s="22">
        <f t="shared" si="4"/>
        <v>2299000</v>
      </c>
      <c r="P20" s="14" t="s">
        <v>39</v>
      </c>
    </row>
    <row r="21" spans="2:23" x14ac:dyDescent="0.25">
      <c r="B21" s="19" t="s">
        <v>10</v>
      </c>
      <c r="C21" s="20" t="s">
        <v>67</v>
      </c>
      <c r="D21" s="21" t="s">
        <v>36</v>
      </c>
      <c r="E21" s="14">
        <v>1230</v>
      </c>
      <c r="F21" s="19" t="s">
        <v>68</v>
      </c>
      <c r="G21" s="19">
        <v>1007717576</v>
      </c>
      <c r="H21" s="14">
        <v>13.2</v>
      </c>
      <c r="I21" s="19" t="s">
        <v>69</v>
      </c>
      <c r="J21" s="13">
        <v>3300000</v>
      </c>
      <c r="K21" s="13">
        <f t="shared" si="1"/>
        <v>250000</v>
      </c>
      <c r="L21" s="13">
        <f t="shared" si="2"/>
        <v>231000.00000000003</v>
      </c>
      <c r="M21" s="14">
        <v>0</v>
      </c>
      <c r="N21" s="22">
        <f t="shared" si="3"/>
        <v>0</v>
      </c>
      <c r="O21" s="22">
        <f t="shared" si="4"/>
        <v>3300000</v>
      </c>
      <c r="P21" s="14" t="s">
        <v>39</v>
      </c>
    </row>
    <row r="22" spans="2:23" x14ac:dyDescent="0.25">
      <c r="B22" s="29" t="s">
        <v>10</v>
      </c>
      <c r="C22" s="30" t="s">
        <v>70</v>
      </c>
      <c r="D22" s="31" t="s">
        <v>71</v>
      </c>
      <c r="E22" s="32">
        <v>1095</v>
      </c>
      <c r="F22" s="29" t="s">
        <v>72</v>
      </c>
      <c r="G22" s="29">
        <v>8032137</v>
      </c>
      <c r="H22" s="32">
        <v>4.8</v>
      </c>
      <c r="I22" s="29" t="s">
        <v>73</v>
      </c>
      <c r="J22" s="33">
        <v>1000000</v>
      </c>
      <c r="K22" s="33">
        <f t="shared" si="1"/>
        <v>208333.33333333334</v>
      </c>
      <c r="L22" s="33">
        <f t="shared" si="2"/>
        <v>70000</v>
      </c>
      <c r="M22" s="32">
        <v>7</v>
      </c>
      <c r="N22" s="34">
        <f t="shared" si="3"/>
        <v>490000</v>
      </c>
      <c r="O22" s="34">
        <f t="shared" si="4"/>
        <v>1490000</v>
      </c>
      <c r="P22" s="32" t="s">
        <v>74</v>
      </c>
      <c r="S22" s="1"/>
      <c r="U22" s="9">
        <f>SUM(V24:V28)</f>
        <v>710000</v>
      </c>
    </row>
    <row r="23" spans="2:23" x14ac:dyDescent="0.25">
      <c r="B23" s="19" t="s">
        <v>5</v>
      </c>
      <c r="C23" s="20" t="s">
        <v>75</v>
      </c>
      <c r="D23" s="21" t="s">
        <v>76</v>
      </c>
      <c r="E23" s="14">
        <v>1213</v>
      </c>
      <c r="F23" s="19" t="s">
        <v>77</v>
      </c>
      <c r="G23" s="19">
        <v>1152186835</v>
      </c>
      <c r="H23" s="14">
        <v>3.7</v>
      </c>
      <c r="I23" s="19" t="s">
        <v>78</v>
      </c>
      <c r="J23" s="13">
        <v>1000000</v>
      </c>
      <c r="K23" s="13">
        <f t="shared" si="1"/>
        <v>270270.27027027024</v>
      </c>
      <c r="L23" s="13">
        <f t="shared" si="2"/>
        <v>70000</v>
      </c>
      <c r="M23" s="14">
        <v>0</v>
      </c>
      <c r="N23" s="22">
        <f t="shared" si="3"/>
        <v>0</v>
      </c>
      <c r="O23" s="22">
        <f t="shared" si="4"/>
        <v>1000000</v>
      </c>
      <c r="P23" s="14" t="s">
        <v>39</v>
      </c>
      <c r="S23" s="11" t="s">
        <v>79</v>
      </c>
      <c r="T23" s="11"/>
      <c r="U23" s="12">
        <f>SUM(S24:S35)</f>
        <v>15500000</v>
      </c>
    </row>
    <row r="24" spans="2:23" x14ac:dyDescent="0.25">
      <c r="B24" s="19" t="s">
        <v>5</v>
      </c>
      <c r="C24" s="20" t="s">
        <v>80</v>
      </c>
      <c r="D24" s="21" t="s">
        <v>81</v>
      </c>
      <c r="E24" s="14">
        <v>1230</v>
      </c>
      <c r="F24" s="19" t="s">
        <v>82</v>
      </c>
      <c r="G24" s="19">
        <v>43048207</v>
      </c>
      <c r="H24" s="14">
        <v>13.09</v>
      </c>
      <c r="I24" s="19" t="s">
        <v>83</v>
      </c>
      <c r="J24" s="13">
        <v>3100000</v>
      </c>
      <c r="K24" s="13">
        <f t="shared" si="1"/>
        <v>236822.00152788387</v>
      </c>
      <c r="L24" s="13">
        <f t="shared" si="2"/>
        <v>217000.00000000003</v>
      </c>
      <c r="M24" s="14">
        <v>0</v>
      </c>
      <c r="N24" s="22">
        <f t="shared" si="3"/>
        <v>0</v>
      </c>
      <c r="O24" s="22">
        <f t="shared" si="4"/>
        <v>3100000</v>
      </c>
      <c r="P24" s="14" t="s">
        <v>39</v>
      </c>
      <c r="S24" s="13">
        <v>4000000</v>
      </c>
      <c r="T24" s="14" t="s">
        <v>2</v>
      </c>
      <c r="U24" s="15">
        <v>46142</v>
      </c>
      <c r="V24" s="7">
        <f>S24*0.05</f>
        <v>200000</v>
      </c>
    </row>
    <row r="25" spans="2:23" x14ac:dyDescent="0.25">
      <c r="B25" s="19" t="s">
        <v>5</v>
      </c>
      <c r="C25" s="20" t="s">
        <v>84</v>
      </c>
      <c r="D25" s="21" t="s">
        <v>85</v>
      </c>
      <c r="E25" s="14">
        <v>1224</v>
      </c>
      <c r="F25" s="19" t="s">
        <v>86</v>
      </c>
      <c r="G25" s="19">
        <v>1036928102</v>
      </c>
      <c r="H25" s="14">
        <v>4.3</v>
      </c>
      <c r="I25" s="19" t="s">
        <v>87</v>
      </c>
      <c r="J25" s="13">
        <v>1100000</v>
      </c>
      <c r="K25" s="13">
        <f t="shared" si="1"/>
        <v>255813.95348837209</v>
      </c>
      <c r="L25" s="13">
        <f t="shared" si="2"/>
        <v>77000.000000000015</v>
      </c>
      <c r="M25" s="14">
        <v>0</v>
      </c>
      <c r="N25" s="22">
        <f t="shared" si="3"/>
        <v>0</v>
      </c>
      <c r="O25" s="22">
        <f t="shared" si="4"/>
        <v>1100000</v>
      </c>
      <c r="P25" s="14" t="s">
        <v>39</v>
      </c>
      <c r="S25" s="13">
        <v>3500000</v>
      </c>
      <c r="T25" s="14" t="s">
        <v>88</v>
      </c>
      <c r="U25" s="15">
        <v>46142</v>
      </c>
      <c r="V25" s="7">
        <f>S25*0.06</f>
        <v>210000</v>
      </c>
    </row>
    <row r="26" spans="2:23" x14ac:dyDescent="0.25">
      <c r="B26" s="19" t="s">
        <v>5</v>
      </c>
      <c r="C26" s="20" t="s">
        <v>89</v>
      </c>
      <c r="D26" s="21" t="s">
        <v>90</v>
      </c>
      <c r="E26" s="14">
        <v>1250</v>
      </c>
      <c r="F26" s="19" t="s">
        <v>91</v>
      </c>
      <c r="G26" s="19">
        <v>39441582</v>
      </c>
      <c r="H26" s="14">
        <v>2.7</v>
      </c>
      <c r="I26" s="19" t="s">
        <v>92</v>
      </c>
      <c r="J26" s="13">
        <v>670000</v>
      </c>
      <c r="K26" s="13">
        <f t="shared" si="1"/>
        <v>248148.14814814815</v>
      </c>
      <c r="L26" s="13">
        <f t="shared" si="2"/>
        <v>46900.000000000007</v>
      </c>
      <c r="M26" s="14">
        <v>0</v>
      </c>
      <c r="N26" s="22">
        <f t="shared" si="3"/>
        <v>0</v>
      </c>
      <c r="O26" s="22">
        <f t="shared" si="4"/>
        <v>670000</v>
      </c>
      <c r="P26" s="14" t="s">
        <v>39</v>
      </c>
      <c r="S26" s="13">
        <v>5000000</v>
      </c>
      <c r="T26" s="14" t="s">
        <v>11</v>
      </c>
      <c r="U26" s="15">
        <v>46178</v>
      </c>
      <c r="V26" s="7">
        <f>S26*0.03</f>
        <v>150000</v>
      </c>
      <c r="W26" s="7">
        <f>S26*0.02</f>
        <v>100000</v>
      </c>
    </row>
    <row r="27" spans="2:23" x14ac:dyDescent="0.25">
      <c r="B27" s="19" t="s">
        <v>2</v>
      </c>
      <c r="C27" s="20" t="s">
        <v>93</v>
      </c>
      <c r="D27" s="21" t="s">
        <v>94</v>
      </c>
      <c r="E27" s="14">
        <v>1225</v>
      </c>
      <c r="F27" s="19" t="s">
        <v>77</v>
      </c>
      <c r="G27" s="19">
        <v>1152186835</v>
      </c>
      <c r="H27" s="14">
        <v>42.2</v>
      </c>
      <c r="I27" s="19" t="s">
        <v>95</v>
      </c>
      <c r="J27" s="13">
        <v>13500000</v>
      </c>
      <c r="K27" s="13">
        <f>10000000/H27</f>
        <v>236966.82464454975</v>
      </c>
      <c r="L27" s="13">
        <f t="shared" si="2"/>
        <v>945000.00000000012</v>
      </c>
      <c r="M27" s="14">
        <v>0</v>
      </c>
      <c r="N27" s="22">
        <f t="shared" si="3"/>
        <v>0</v>
      </c>
      <c r="O27" s="22">
        <f t="shared" si="4"/>
        <v>13500000</v>
      </c>
      <c r="P27" s="14" t="s">
        <v>39</v>
      </c>
      <c r="S27" s="13">
        <v>0</v>
      </c>
      <c r="T27" s="14" t="s">
        <v>96</v>
      </c>
      <c r="U27" s="15">
        <v>46129</v>
      </c>
      <c r="V27" s="7">
        <f>S27*0.1</f>
        <v>0</v>
      </c>
    </row>
    <row r="28" spans="2:23" x14ac:dyDescent="0.25">
      <c r="B28" s="19" t="s">
        <v>2</v>
      </c>
      <c r="C28" s="20" t="s">
        <v>97</v>
      </c>
      <c r="D28" s="21" t="s">
        <v>98</v>
      </c>
      <c r="E28" s="14">
        <v>1037</v>
      </c>
      <c r="F28" s="19" t="s">
        <v>99</v>
      </c>
      <c r="G28" s="19">
        <v>1017211660</v>
      </c>
      <c r="H28" s="14">
        <v>6.8</v>
      </c>
      <c r="I28" s="19" t="s">
        <v>100</v>
      </c>
      <c r="J28" s="13">
        <v>1850000</v>
      </c>
      <c r="K28" s="13">
        <f t="shared" ref="K28:K37" si="5">J28/H28</f>
        <v>272058.82352941175</v>
      </c>
      <c r="L28" s="13">
        <f t="shared" si="2"/>
        <v>129500.00000000001</v>
      </c>
      <c r="M28" s="14">
        <v>5</v>
      </c>
      <c r="N28" s="22">
        <f t="shared" si="3"/>
        <v>647500.00000000012</v>
      </c>
      <c r="O28" s="22">
        <f t="shared" si="4"/>
        <v>2497500</v>
      </c>
      <c r="P28" s="14" t="s">
        <v>39</v>
      </c>
      <c r="S28" s="13">
        <v>3000000</v>
      </c>
      <c r="T28" s="14" t="s">
        <v>20</v>
      </c>
      <c r="U28" s="15">
        <v>46232</v>
      </c>
      <c r="V28" s="7">
        <f>S28*0.05</f>
        <v>150000</v>
      </c>
    </row>
    <row r="29" spans="2:23" x14ac:dyDescent="0.25">
      <c r="B29" s="19" t="s">
        <v>2</v>
      </c>
      <c r="C29" s="20" t="s">
        <v>101</v>
      </c>
      <c r="D29" s="21" t="s">
        <v>102</v>
      </c>
      <c r="E29" s="14">
        <v>1032</v>
      </c>
      <c r="F29" s="19" t="s">
        <v>103</v>
      </c>
      <c r="G29" s="19">
        <v>1147953214</v>
      </c>
      <c r="H29" s="14">
        <v>8.5</v>
      </c>
      <c r="I29" s="19" t="s">
        <v>104</v>
      </c>
      <c r="J29" s="13">
        <v>2500000</v>
      </c>
      <c r="K29" s="13">
        <f t="shared" si="5"/>
        <v>294117.64705882355</v>
      </c>
      <c r="L29" s="13">
        <f t="shared" si="2"/>
        <v>175000.00000000003</v>
      </c>
      <c r="M29" s="14">
        <v>6</v>
      </c>
      <c r="N29" s="22">
        <f t="shared" si="3"/>
        <v>1050000.0000000002</v>
      </c>
      <c r="O29" s="22">
        <f t="shared" si="4"/>
        <v>3550000</v>
      </c>
      <c r="P29" s="14" t="s">
        <v>39</v>
      </c>
    </row>
    <row r="30" spans="2:23" x14ac:dyDescent="0.25">
      <c r="B30" s="19" t="s">
        <v>2</v>
      </c>
      <c r="C30" s="20" t="s">
        <v>105</v>
      </c>
      <c r="D30" s="21" t="s">
        <v>106</v>
      </c>
      <c r="E30" s="14">
        <v>1169</v>
      </c>
      <c r="F30" s="19" t="s">
        <v>107</v>
      </c>
      <c r="G30" s="19">
        <v>71376667</v>
      </c>
      <c r="H30" s="14">
        <v>12</v>
      </c>
      <c r="I30" s="19" t="s">
        <v>108</v>
      </c>
      <c r="J30" s="13">
        <v>800000</v>
      </c>
      <c r="K30" s="13">
        <f t="shared" si="5"/>
        <v>66666.666666666672</v>
      </c>
      <c r="L30" s="13">
        <f t="shared" si="2"/>
        <v>56000.000000000007</v>
      </c>
      <c r="M30" s="14">
        <v>0</v>
      </c>
      <c r="N30" s="22">
        <f t="shared" si="3"/>
        <v>0</v>
      </c>
      <c r="O30" s="22">
        <f t="shared" si="4"/>
        <v>800000</v>
      </c>
      <c r="P30" s="14" t="s">
        <v>39</v>
      </c>
    </row>
    <row r="31" spans="2:23" x14ac:dyDescent="0.25">
      <c r="B31" s="19" t="s">
        <v>2</v>
      </c>
      <c r="C31" s="20" t="s">
        <v>109</v>
      </c>
      <c r="D31" s="21" t="s">
        <v>110</v>
      </c>
      <c r="E31" s="14">
        <v>1230</v>
      </c>
      <c r="F31" s="19" t="s">
        <v>111</v>
      </c>
      <c r="G31" s="19">
        <v>39450474</v>
      </c>
      <c r="H31" s="14">
        <v>1.9</v>
      </c>
      <c r="I31" s="19" t="s">
        <v>112</v>
      </c>
      <c r="J31" s="13">
        <v>450000</v>
      </c>
      <c r="K31" s="13">
        <f t="shared" si="5"/>
        <v>236842.10526315789</v>
      </c>
      <c r="L31" s="13">
        <f t="shared" si="2"/>
        <v>31500.000000000004</v>
      </c>
      <c r="M31" s="14">
        <v>0</v>
      </c>
      <c r="N31" s="22">
        <f t="shared" si="3"/>
        <v>0</v>
      </c>
      <c r="O31" s="22">
        <f t="shared" si="4"/>
        <v>450000</v>
      </c>
      <c r="P31" s="14" t="s">
        <v>39</v>
      </c>
    </row>
    <row r="32" spans="2:23" x14ac:dyDescent="0.25">
      <c r="B32" s="19" t="s">
        <v>2</v>
      </c>
      <c r="C32" s="20" t="s">
        <v>109</v>
      </c>
      <c r="D32" s="21" t="s">
        <v>110</v>
      </c>
      <c r="E32" s="14">
        <v>1217</v>
      </c>
      <c r="F32" s="19" t="s">
        <v>113</v>
      </c>
      <c r="G32" s="19">
        <v>1026135266</v>
      </c>
      <c r="H32" s="14">
        <v>0</v>
      </c>
      <c r="I32" s="19" t="s">
        <v>114</v>
      </c>
      <c r="J32" s="13">
        <v>10000000</v>
      </c>
      <c r="K32" s="13" t="e">
        <f t="shared" si="5"/>
        <v>#DIV/0!</v>
      </c>
      <c r="L32" s="13">
        <f t="shared" si="2"/>
        <v>700000.00000000012</v>
      </c>
      <c r="M32" s="14">
        <v>0</v>
      </c>
      <c r="N32" s="22">
        <f t="shared" si="3"/>
        <v>0</v>
      </c>
      <c r="O32" s="22">
        <f t="shared" si="4"/>
        <v>10000000</v>
      </c>
      <c r="P32" s="14" t="s">
        <v>39</v>
      </c>
    </row>
    <row r="33" spans="2:16" x14ac:dyDescent="0.25">
      <c r="B33" s="29" t="s">
        <v>2</v>
      </c>
      <c r="C33" s="30" t="s">
        <v>35</v>
      </c>
      <c r="D33" s="31" t="s">
        <v>115</v>
      </c>
      <c r="E33" s="32">
        <v>1212</v>
      </c>
      <c r="F33" s="29" t="s">
        <v>37</v>
      </c>
      <c r="G33" s="29">
        <v>42800435</v>
      </c>
      <c r="H33" s="32">
        <v>38</v>
      </c>
      <c r="I33" s="29" t="s">
        <v>116</v>
      </c>
      <c r="J33" s="33">
        <v>2000000</v>
      </c>
      <c r="K33" s="33">
        <f t="shared" si="5"/>
        <v>52631.57894736842</v>
      </c>
      <c r="L33" s="33">
        <f t="shared" si="2"/>
        <v>140000</v>
      </c>
      <c r="M33" s="32">
        <v>1</v>
      </c>
      <c r="N33" s="34">
        <f t="shared" si="3"/>
        <v>140000</v>
      </c>
      <c r="O33" s="34">
        <f t="shared" si="4"/>
        <v>2140000</v>
      </c>
      <c r="P33" s="32" t="s">
        <v>74</v>
      </c>
    </row>
    <row r="34" spans="2:16" x14ac:dyDescent="0.25">
      <c r="B34" s="19" t="s">
        <v>8</v>
      </c>
      <c r="C34" s="20" t="s">
        <v>35</v>
      </c>
      <c r="D34" s="21" t="s">
        <v>36</v>
      </c>
      <c r="E34" s="14">
        <v>1212</v>
      </c>
      <c r="F34" s="19" t="s">
        <v>37</v>
      </c>
      <c r="G34" s="19">
        <v>42800435</v>
      </c>
      <c r="H34" s="14">
        <v>30</v>
      </c>
      <c r="I34" s="19" t="s">
        <v>117</v>
      </c>
      <c r="J34" s="13">
        <v>2300000</v>
      </c>
      <c r="K34" s="13">
        <f t="shared" si="5"/>
        <v>76666.666666666672</v>
      </c>
      <c r="L34" s="13">
        <f t="shared" si="2"/>
        <v>161000.00000000003</v>
      </c>
      <c r="M34" s="14">
        <v>1</v>
      </c>
      <c r="N34" s="22">
        <f t="shared" si="3"/>
        <v>161000.00000000003</v>
      </c>
      <c r="O34" s="22">
        <f t="shared" si="4"/>
        <v>2461000</v>
      </c>
      <c r="P34" s="14" t="s">
        <v>39</v>
      </c>
    </row>
    <row r="35" spans="2:16" x14ac:dyDescent="0.25">
      <c r="B35" s="19" t="s">
        <v>4</v>
      </c>
      <c r="C35" s="20" t="s">
        <v>53</v>
      </c>
      <c r="D35" s="21" t="s">
        <v>54</v>
      </c>
      <c r="E35" s="14">
        <v>1176</v>
      </c>
      <c r="F35" s="19" t="s">
        <v>118</v>
      </c>
      <c r="G35" s="19">
        <v>15320203</v>
      </c>
      <c r="H35" s="14">
        <v>36.67</v>
      </c>
      <c r="I35" s="19" t="s">
        <v>119</v>
      </c>
      <c r="J35" s="13">
        <v>10500000</v>
      </c>
      <c r="K35" s="13">
        <f t="shared" si="5"/>
        <v>286337.60567221162</v>
      </c>
      <c r="L35" s="13">
        <f t="shared" si="2"/>
        <v>735000.00000000012</v>
      </c>
      <c r="M35" s="14">
        <v>0</v>
      </c>
      <c r="N35" s="22">
        <f t="shared" si="3"/>
        <v>0</v>
      </c>
      <c r="O35" s="22">
        <f t="shared" si="4"/>
        <v>10500000</v>
      </c>
      <c r="P35" s="14" t="s">
        <v>39</v>
      </c>
    </row>
    <row r="36" spans="2:16" x14ac:dyDescent="0.25">
      <c r="B36" s="19" t="s">
        <v>4</v>
      </c>
      <c r="C36" s="20" t="s">
        <v>49</v>
      </c>
      <c r="D36" s="21" t="s">
        <v>50</v>
      </c>
      <c r="E36" s="14">
        <v>1240</v>
      </c>
      <c r="F36" s="19" t="s">
        <v>118</v>
      </c>
      <c r="G36" s="19">
        <v>15320203</v>
      </c>
      <c r="H36" s="14">
        <v>36</v>
      </c>
      <c r="I36" s="19" t="s">
        <v>120</v>
      </c>
      <c r="J36" s="13">
        <v>7500000</v>
      </c>
      <c r="K36" s="13">
        <f t="shared" si="5"/>
        <v>208333.33333333334</v>
      </c>
      <c r="L36" s="13">
        <f t="shared" si="2"/>
        <v>525000</v>
      </c>
      <c r="M36" s="14">
        <v>0</v>
      </c>
      <c r="N36" s="22">
        <f t="shared" si="3"/>
        <v>0</v>
      </c>
      <c r="O36" s="22">
        <f t="shared" si="4"/>
        <v>7500000</v>
      </c>
      <c r="P36" s="14" t="s">
        <v>39</v>
      </c>
    </row>
    <row r="37" spans="2:16" x14ac:dyDescent="0.25">
      <c r="B37" s="23" t="s">
        <v>4</v>
      </c>
      <c r="C37" s="24" t="s">
        <v>121</v>
      </c>
      <c r="D37" s="25" t="s">
        <v>122</v>
      </c>
      <c r="E37" s="26">
        <v>1100</v>
      </c>
      <c r="F37" s="23" t="s">
        <v>123</v>
      </c>
      <c r="G37" s="23">
        <v>15442547</v>
      </c>
      <c r="H37" s="26">
        <v>5.78</v>
      </c>
      <c r="I37" s="23" t="s">
        <v>124</v>
      </c>
      <c r="J37" s="27">
        <v>1730000</v>
      </c>
      <c r="K37" s="27">
        <f t="shared" si="5"/>
        <v>299307.95847750863</v>
      </c>
      <c r="L37" s="27">
        <f t="shared" si="2"/>
        <v>121100.00000000001</v>
      </c>
      <c r="M37" s="26">
        <v>0</v>
      </c>
      <c r="N37" s="28">
        <f t="shared" si="3"/>
        <v>0</v>
      </c>
      <c r="O37" s="28">
        <f t="shared" si="4"/>
        <v>1730000</v>
      </c>
      <c r="P37" s="26" t="s">
        <v>58</v>
      </c>
    </row>
    <row r="39" spans="2:16" x14ac:dyDescent="0.25">
      <c r="C39" s="35" t="s">
        <v>125</v>
      </c>
      <c r="F39" s="1" t="s">
        <v>126</v>
      </c>
    </row>
  </sheetData>
  <mergeCells count="2">
    <mergeCell ref="S4:T4"/>
    <mergeCell ref="S23:T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AFB4-BAD7-460F-9998-B24989C44483}">
  <dimension ref="B1:U32"/>
  <sheetViews>
    <sheetView tabSelected="1" workbookViewId="0">
      <selection activeCell="O21" sqref="O21"/>
    </sheetView>
  </sheetViews>
  <sheetFormatPr baseColWidth="10" defaultColWidth="11.5703125" defaultRowHeight="15.75" x14ac:dyDescent="0.25"/>
  <cols>
    <col min="1" max="1" width="3.140625" style="36" customWidth="1"/>
    <col min="2" max="2" width="11.5703125" style="56"/>
    <col min="3" max="3" width="25.140625" style="57" customWidth="1"/>
    <col min="4" max="4" width="15.85546875" style="50" bestFit="1" customWidth="1"/>
    <col min="5" max="6" width="13.140625" style="50" bestFit="1" customWidth="1"/>
    <col min="7" max="7" width="14.28515625" style="50" bestFit="1" customWidth="1"/>
    <col min="8" max="9" width="11.5703125" style="36"/>
    <col min="10" max="10" width="23" style="36" customWidth="1"/>
    <col min="11" max="11" width="15.85546875" style="50" bestFit="1" customWidth="1"/>
    <col min="12" max="12" width="14.28515625" style="50" bestFit="1" customWidth="1"/>
    <col min="13" max="13" width="11.5703125" style="50"/>
    <col min="14" max="14" width="14.28515625" style="50" bestFit="1" customWidth="1"/>
    <col min="15" max="15" width="14.28515625" style="36" bestFit="1" customWidth="1"/>
    <col min="16" max="17" width="11.5703125" style="36"/>
    <col min="18" max="18" width="13.140625" style="36" bestFit="1" customWidth="1"/>
    <col min="19" max="20" width="11.5703125" style="36"/>
    <col min="21" max="21" width="14.28515625" style="36" bestFit="1" customWidth="1"/>
    <col min="22" max="16384" width="11.5703125" style="36"/>
  </cols>
  <sheetData>
    <row r="1" spans="2:21" x14ac:dyDescent="0.25">
      <c r="B1" s="36"/>
      <c r="C1" s="36"/>
      <c r="D1" s="36"/>
      <c r="E1" s="36"/>
      <c r="F1" s="37">
        <f>SUM(F5:F299)</f>
        <v>1725000</v>
      </c>
      <c r="G1" s="37"/>
      <c r="K1" s="36"/>
      <c r="L1" s="36"/>
      <c r="M1" s="37">
        <f>M5</f>
        <v>210000</v>
      </c>
      <c r="N1" s="36"/>
      <c r="T1" s="37">
        <f>T5+T6+T7</f>
        <v>100000</v>
      </c>
    </row>
    <row r="2" spans="2:21" x14ac:dyDescent="0.25">
      <c r="B2" s="38" t="s">
        <v>1</v>
      </c>
      <c r="C2" s="39">
        <v>0.05</v>
      </c>
      <c r="D2" s="39">
        <v>0.1</v>
      </c>
      <c r="E2" s="38"/>
      <c r="F2" s="38" t="s">
        <v>127</v>
      </c>
      <c r="G2" s="40">
        <f>SUM(G5:G999)</f>
        <v>31750000</v>
      </c>
      <c r="I2" s="38" t="s">
        <v>1</v>
      </c>
      <c r="J2" s="39">
        <v>0.03</v>
      </c>
      <c r="K2" s="39">
        <v>0.1</v>
      </c>
      <c r="L2" s="39">
        <v>7.0000000000000007E-2</v>
      </c>
      <c r="M2" s="38" t="s">
        <v>127</v>
      </c>
      <c r="N2" s="40">
        <f>SUM(N5:N999)</f>
        <v>7000000</v>
      </c>
      <c r="P2" s="38" t="s">
        <v>1</v>
      </c>
      <c r="Q2" s="39">
        <v>0.05</v>
      </c>
      <c r="R2" s="39">
        <v>0.1</v>
      </c>
      <c r="S2" s="38"/>
      <c r="T2" s="38" t="s">
        <v>127</v>
      </c>
      <c r="U2" s="40">
        <f>SUM(U5:U999)</f>
        <v>2000000</v>
      </c>
    </row>
    <row r="3" spans="2:21" x14ac:dyDescent="0.25">
      <c r="B3" s="38"/>
      <c r="C3" s="38"/>
      <c r="D3" s="38"/>
      <c r="E3" s="38"/>
      <c r="F3" s="38"/>
      <c r="G3" s="38"/>
      <c r="I3" s="41" t="s">
        <v>5</v>
      </c>
      <c r="J3" s="41"/>
      <c r="K3" s="41"/>
      <c r="L3" s="41"/>
      <c r="M3" s="41"/>
      <c r="N3" s="41"/>
      <c r="P3" s="41" t="s">
        <v>128</v>
      </c>
      <c r="Q3" s="41"/>
      <c r="R3" s="41"/>
      <c r="S3" s="41"/>
      <c r="T3" s="41"/>
      <c r="U3" s="41"/>
    </row>
    <row r="4" spans="2:21" x14ac:dyDescent="0.25">
      <c r="B4" s="42" t="s">
        <v>129</v>
      </c>
      <c r="C4" s="42" t="s">
        <v>130</v>
      </c>
      <c r="D4" s="42" t="s">
        <v>29</v>
      </c>
      <c r="E4" s="42" t="s">
        <v>131</v>
      </c>
      <c r="F4" s="42" t="s">
        <v>1</v>
      </c>
      <c r="G4" s="42" t="s">
        <v>127</v>
      </c>
      <c r="I4" s="43" t="s">
        <v>129</v>
      </c>
      <c r="J4" s="43" t="s">
        <v>130</v>
      </c>
      <c r="K4" s="43" t="s">
        <v>29</v>
      </c>
      <c r="L4" s="43" t="s">
        <v>131</v>
      </c>
      <c r="M4" s="43" t="s">
        <v>1</v>
      </c>
      <c r="N4" s="43" t="s">
        <v>127</v>
      </c>
      <c r="P4" s="43" t="s">
        <v>129</v>
      </c>
      <c r="Q4" s="43" t="s">
        <v>130</v>
      </c>
      <c r="R4" s="43" t="s">
        <v>29</v>
      </c>
      <c r="S4" s="43" t="s">
        <v>131</v>
      </c>
      <c r="T4" s="43" t="s">
        <v>1</v>
      </c>
      <c r="U4" s="43" t="s">
        <v>127</v>
      </c>
    </row>
    <row r="5" spans="2:21" x14ac:dyDescent="0.25">
      <c r="B5" s="44">
        <v>45931</v>
      </c>
      <c r="C5" s="45" t="s">
        <v>132</v>
      </c>
      <c r="D5" s="46">
        <v>600000</v>
      </c>
      <c r="E5" s="46">
        <v>0</v>
      </c>
      <c r="F5" s="46">
        <v>0</v>
      </c>
      <c r="G5" s="46">
        <f>D5-E5</f>
        <v>600000</v>
      </c>
      <c r="I5" s="47">
        <v>45782</v>
      </c>
      <c r="J5" s="48" t="s">
        <v>133</v>
      </c>
      <c r="K5" s="46">
        <v>8500000</v>
      </c>
      <c r="L5" s="46">
        <v>1500000</v>
      </c>
      <c r="M5" s="46">
        <f>N5*J2</f>
        <v>210000</v>
      </c>
      <c r="N5" s="46">
        <f>K5-L5</f>
        <v>7000000</v>
      </c>
      <c r="P5" s="47">
        <v>45782</v>
      </c>
      <c r="Q5" s="48" t="s">
        <v>134</v>
      </c>
      <c r="R5" s="46">
        <v>2000000</v>
      </c>
      <c r="S5" s="46">
        <v>0</v>
      </c>
      <c r="T5" s="46">
        <f>R5*Q2</f>
        <v>100000</v>
      </c>
      <c r="U5" s="46">
        <f>R5-S5</f>
        <v>2000000</v>
      </c>
    </row>
    <row r="6" spans="2:21" x14ac:dyDescent="0.25">
      <c r="B6" s="44">
        <v>45928</v>
      </c>
      <c r="C6" s="45" t="s">
        <v>135</v>
      </c>
      <c r="D6" s="46">
        <v>500000</v>
      </c>
      <c r="E6" s="46">
        <v>500000</v>
      </c>
      <c r="F6" s="46">
        <v>0</v>
      </c>
      <c r="G6" s="46">
        <f>(D6+F6)-E6</f>
        <v>0</v>
      </c>
      <c r="I6" s="47">
        <v>45823</v>
      </c>
      <c r="J6" s="48" t="s">
        <v>136</v>
      </c>
      <c r="K6" s="46">
        <v>700000</v>
      </c>
      <c r="L6" s="46">
        <v>700000</v>
      </c>
      <c r="M6" s="46">
        <f>K6*J2</f>
        <v>21000</v>
      </c>
      <c r="N6" s="46">
        <f>K6-L6</f>
        <v>0</v>
      </c>
      <c r="P6" s="49"/>
      <c r="R6" s="50"/>
      <c r="S6" s="50"/>
      <c r="T6" s="50"/>
      <c r="U6" s="50"/>
    </row>
    <row r="7" spans="2:21" x14ac:dyDescent="0.25">
      <c r="B7" s="44">
        <v>45704</v>
      </c>
      <c r="C7" s="45" t="s">
        <v>137</v>
      </c>
      <c r="D7" s="46">
        <f>1800000+2600000</f>
        <v>4400000</v>
      </c>
      <c r="E7" s="46">
        <f>(7*400000)+400000+400000+800000</f>
        <v>4400000</v>
      </c>
      <c r="F7" s="46">
        <v>0</v>
      </c>
      <c r="G7" s="46">
        <f>(D7+F7)-E7</f>
        <v>0</v>
      </c>
      <c r="I7" s="47">
        <v>45858</v>
      </c>
      <c r="J7" s="48" t="s">
        <v>2</v>
      </c>
      <c r="K7" s="46">
        <v>1400000</v>
      </c>
      <c r="L7" s="46">
        <v>1400000</v>
      </c>
      <c r="M7" s="46">
        <f>K7*J2</f>
        <v>42000</v>
      </c>
      <c r="N7" s="46">
        <f>K7-L7</f>
        <v>0</v>
      </c>
      <c r="P7" s="49"/>
      <c r="R7" s="50"/>
      <c r="S7" s="50"/>
      <c r="T7" s="50"/>
      <c r="U7" s="50"/>
    </row>
    <row r="8" spans="2:21" x14ac:dyDescent="0.25">
      <c r="B8" s="44">
        <v>45874</v>
      </c>
      <c r="C8" s="45" t="s">
        <v>12</v>
      </c>
      <c r="D8" s="46">
        <v>3000000</v>
      </c>
      <c r="E8" s="46">
        <v>3000000</v>
      </c>
      <c r="F8" s="46">
        <f>G8*$C$2</f>
        <v>0</v>
      </c>
      <c r="G8" s="46">
        <f t="shared" ref="G8:G32" si="0">D8-E8</f>
        <v>0</v>
      </c>
      <c r="I8" s="47">
        <v>45959</v>
      </c>
      <c r="J8" s="48" t="s">
        <v>20</v>
      </c>
      <c r="K8" s="46">
        <f>6000000+2000000+4500000</f>
        <v>12500000</v>
      </c>
      <c r="L8" s="46">
        <v>12500000</v>
      </c>
      <c r="M8" s="46">
        <f>K8*L2</f>
        <v>875000.00000000012</v>
      </c>
      <c r="N8" s="46">
        <f>K8-L8</f>
        <v>0</v>
      </c>
      <c r="O8" s="37">
        <f>K8+M8</f>
        <v>13375000</v>
      </c>
    </row>
    <row r="9" spans="2:21" x14ac:dyDescent="0.25">
      <c r="B9" s="51">
        <v>45880</v>
      </c>
      <c r="C9" s="52" t="s">
        <v>138</v>
      </c>
      <c r="D9" s="53">
        <v>600000</v>
      </c>
      <c r="E9" s="53">
        <f>200000+100000</f>
        <v>300000</v>
      </c>
      <c r="F9" s="53">
        <v>0</v>
      </c>
      <c r="G9" s="53">
        <f t="shared" si="0"/>
        <v>300000</v>
      </c>
      <c r="I9" s="47">
        <v>45982</v>
      </c>
      <c r="J9" s="48" t="s">
        <v>139</v>
      </c>
      <c r="K9" s="46">
        <v>1150000</v>
      </c>
      <c r="L9" s="46">
        <v>1400000</v>
      </c>
      <c r="M9" s="46">
        <v>0</v>
      </c>
      <c r="N9" s="46">
        <v>0</v>
      </c>
    </row>
    <row r="10" spans="2:21" x14ac:dyDescent="0.25">
      <c r="B10" s="44">
        <v>45905</v>
      </c>
      <c r="C10" s="45" t="s">
        <v>11</v>
      </c>
      <c r="D10" s="46">
        <f>1500000+2600000</f>
        <v>4100000</v>
      </c>
      <c r="E10" s="46">
        <f>2000000+2100000</f>
        <v>4100000</v>
      </c>
      <c r="F10" s="46">
        <f>$C$2*G10</f>
        <v>0</v>
      </c>
      <c r="G10" s="46">
        <f t="shared" si="0"/>
        <v>0</v>
      </c>
      <c r="I10" s="47">
        <v>46007</v>
      </c>
      <c r="J10" s="48" t="s">
        <v>20</v>
      </c>
      <c r="K10" s="46">
        <f>5000000+4000000</f>
        <v>9000000</v>
      </c>
      <c r="L10" s="46">
        <v>9000000</v>
      </c>
      <c r="M10" s="46">
        <f>K10*L2</f>
        <v>630000.00000000012</v>
      </c>
      <c r="N10" s="46">
        <f>K10-L10</f>
        <v>0</v>
      </c>
    </row>
    <row r="11" spans="2:21" x14ac:dyDescent="0.25">
      <c r="B11" s="44">
        <v>45890</v>
      </c>
      <c r="C11" s="45" t="s">
        <v>140</v>
      </c>
      <c r="D11" s="46">
        <v>1000000</v>
      </c>
      <c r="E11" s="46">
        <v>1000000</v>
      </c>
      <c r="F11" s="46">
        <v>50000</v>
      </c>
      <c r="G11" s="46">
        <f t="shared" si="0"/>
        <v>0</v>
      </c>
      <c r="I11" s="47">
        <v>46007</v>
      </c>
      <c r="J11" s="48" t="s">
        <v>139</v>
      </c>
      <c r="K11" s="46">
        <f>3150000+380000</f>
        <v>3530000</v>
      </c>
      <c r="L11" s="46">
        <v>0</v>
      </c>
      <c r="M11" s="46">
        <v>0</v>
      </c>
      <c r="N11" s="46">
        <v>0</v>
      </c>
    </row>
    <row r="12" spans="2:21" x14ac:dyDescent="0.25">
      <c r="B12" s="44">
        <v>45777</v>
      </c>
      <c r="C12" s="45" t="s">
        <v>141</v>
      </c>
      <c r="D12" s="46">
        <v>1000000</v>
      </c>
      <c r="E12" s="46">
        <v>0</v>
      </c>
      <c r="F12" s="46">
        <f>G12*$C$2</f>
        <v>50000</v>
      </c>
      <c r="G12" s="46">
        <f t="shared" si="0"/>
        <v>1000000</v>
      </c>
    </row>
    <row r="13" spans="2:21" x14ac:dyDescent="0.25">
      <c r="B13" s="51">
        <v>45787</v>
      </c>
      <c r="C13" s="52" t="s">
        <v>142</v>
      </c>
      <c r="D13" s="53">
        <v>3000000</v>
      </c>
      <c r="E13" s="53">
        <v>500000</v>
      </c>
      <c r="F13" s="53">
        <f>G13*$C$2</f>
        <v>125000</v>
      </c>
      <c r="G13" s="53">
        <f t="shared" si="0"/>
        <v>2500000</v>
      </c>
    </row>
    <row r="14" spans="2:21" x14ac:dyDescent="0.25">
      <c r="B14" s="44">
        <v>45787</v>
      </c>
      <c r="C14" s="45" t="s">
        <v>143</v>
      </c>
      <c r="D14" s="46">
        <v>2000000</v>
      </c>
      <c r="E14" s="46">
        <v>500000</v>
      </c>
      <c r="F14" s="46">
        <f>G14*$C$2</f>
        <v>75000</v>
      </c>
      <c r="G14" s="46">
        <f t="shared" si="0"/>
        <v>1500000</v>
      </c>
      <c r="I14" s="38" t="s">
        <v>19</v>
      </c>
      <c r="J14" s="40">
        <f>SUM(J15:J19)</f>
        <v>3665800</v>
      </c>
      <c r="K14" s="54">
        <f>J14/3100</f>
        <v>1182.516129032258</v>
      </c>
    </row>
    <row r="15" spans="2:21" x14ac:dyDescent="0.25">
      <c r="B15" s="44">
        <v>45658</v>
      </c>
      <c r="C15" s="45" t="s">
        <v>144</v>
      </c>
      <c r="D15" s="46">
        <v>1043500</v>
      </c>
      <c r="E15" s="46">
        <f>200000+200000+200000+443500</f>
        <v>1043500</v>
      </c>
      <c r="F15" s="46">
        <v>0</v>
      </c>
      <c r="G15" s="46">
        <f t="shared" si="0"/>
        <v>0</v>
      </c>
      <c r="I15" s="36" t="s">
        <v>145</v>
      </c>
      <c r="J15" s="50">
        <f>'[1]CONTRATOS ACTUALES'!F2</f>
        <v>2550800</v>
      </c>
    </row>
    <row r="16" spans="2:21" x14ac:dyDescent="0.25">
      <c r="B16" s="44">
        <v>45658</v>
      </c>
      <c r="C16" s="45" t="s">
        <v>146</v>
      </c>
      <c r="D16" s="46">
        <v>900000</v>
      </c>
      <c r="E16" s="46">
        <f>100000+100000+700000</f>
        <v>900000</v>
      </c>
      <c r="F16" s="46">
        <f>G16*$C$2</f>
        <v>0</v>
      </c>
      <c r="G16" s="46">
        <f t="shared" si="0"/>
        <v>0</v>
      </c>
      <c r="I16" s="36" t="s">
        <v>133</v>
      </c>
      <c r="J16" s="50">
        <v>715000</v>
      </c>
    </row>
    <row r="17" spans="2:14" x14ac:dyDescent="0.25">
      <c r="B17" s="51">
        <v>45658</v>
      </c>
      <c r="C17" s="52" t="s">
        <v>147</v>
      </c>
      <c r="D17" s="53">
        <v>3000000</v>
      </c>
      <c r="E17" s="53">
        <v>0</v>
      </c>
      <c r="F17" s="53">
        <f>G17*$C$2</f>
        <v>150000</v>
      </c>
      <c r="G17" s="53">
        <f t="shared" si="0"/>
        <v>3000000</v>
      </c>
      <c r="I17" s="36" t="s">
        <v>148</v>
      </c>
      <c r="J17" s="50">
        <f>F31</f>
        <v>125000</v>
      </c>
      <c r="N17" s="50" t="s">
        <v>149</v>
      </c>
    </row>
    <row r="18" spans="2:14" x14ac:dyDescent="0.25">
      <c r="B18" s="44">
        <v>45720</v>
      </c>
      <c r="C18" s="45" t="s">
        <v>150</v>
      </c>
      <c r="D18" s="46">
        <v>0</v>
      </c>
      <c r="E18" s="46">
        <v>0</v>
      </c>
      <c r="F18" s="46">
        <v>0</v>
      </c>
      <c r="G18" s="46">
        <f t="shared" si="0"/>
        <v>0</v>
      </c>
      <c r="I18" s="36" t="s">
        <v>143</v>
      </c>
      <c r="J18" s="50">
        <v>75000</v>
      </c>
    </row>
    <row r="19" spans="2:14" x14ac:dyDescent="0.25">
      <c r="B19" s="51">
        <v>45658</v>
      </c>
      <c r="C19" s="52" t="s">
        <v>151</v>
      </c>
      <c r="D19" s="53">
        <v>1000000</v>
      </c>
      <c r="E19" s="53">
        <v>400000</v>
      </c>
      <c r="F19" s="53">
        <v>0</v>
      </c>
      <c r="G19" s="53">
        <f t="shared" si="0"/>
        <v>600000</v>
      </c>
      <c r="I19" s="36" t="s">
        <v>152</v>
      </c>
      <c r="J19" s="50">
        <v>200000</v>
      </c>
    </row>
    <row r="20" spans="2:14" x14ac:dyDescent="0.25">
      <c r="B20" s="44">
        <v>46269</v>
      </c>
      <c r="C20" s="45" t="s">
        <v>153</v>
      </c>
      <c r="D20" s="46">
        <v>2500000</v>
      </c>
      <c r="E20" s="46">
        <v>0</v>
      </c>
      <c r="F20" s="46">
        <f>D20*0.05</f>
        <v>125000</v>
      </c>
      <c r="G20" s="46">
        <f t="shared" si="0"/>
        <v>2500000</v>
      </c>
      <c r="I20" s="36" t="s">
        <v>153</v>
      </c>
      <c r="J20" s="50">
        <v>125000</v>
      </c>
    </row>
    <row r="21" spans="2:14" x14ac:dyDescent="0.25">
      <c r="B21" s="44">
        <v>45658</v>
      </c>
      <c r="C21" s="45" t="s">
        <v>154</v>
      </c>
      <c r="D21" s="46">
        <v>2405000</v>
      </c>
      <c r="E21" s="46">
        <f>1430000+500000+75000+400000</f>
        <v>2405000</v>
      </c>
      <c r="F21" s="46">
        <v>0</v>
      </c>
      <c r="G21" s="46">
        <f t="shared" si="0"/>
        <v>0</v>
      </c>
      <c r="J21" s="50"/>
    </row>
    <row r="22" spans="2:14" x14ac:dyDescent="0.25">
      <c r="B22" s="44">
        <v>45658</v>
      </c>
      <c r="C22" s="45" t="s">
        <v>9</v>
      </c>
      <c r="D22" s="46">
        <v>500000</v>
      </c>
      <c r="E22" s="46">
        <f>250000+250000</f>
        <v>500000</v>
      </c>
      <c r="F22" s="46">
        <v>0</v>
      </c>
      <c r="G22" s="46">
        <f t="shared" si="0"/>
        <v>0</v>
      </c>
      <c r="J22" s="50">
        <f>SUM(J16:J20)</f>
        <v>1240000</v>
      </c>
      <c r="K22" s="50">
        <f>G26+N5+G31+G14+G25+G20</f>
        <v>29000000</v>
      </c>
    </row>
    <row r="23" spans="2:14" x14ac:dyDescent="0.25">
      <c r="B23" s="44">
        <v>45658</v>
      </c>
      <c r="C23" s="45" t="s">
        <v>155</v>
      </c>
      <c r="D23" s="46">
        <v>800000</v>
      </c>
      <c r="E23" s="46">
        <f>100000+100000</f>
        <v>200000</v>
      </c>
      <c r="F23" s="46">
        <v>0</v>
      </c>
      <c r="G23" s="46">
        <f t="shared" si="0"/>
        <v>600000</v>
      </c>
    </row>
    <row r="24" spans="2:14" x14ac:dyDescent="0.25">
      <c r="B24" s="44">
        <v>45823</v>
      </c>
      <c r="C24" s="45" t="s">
        <v>156</v>
      </c>
      <c r="D24" s="46">
        <v>350000</v>
      </c>
      <c r="E24" s="46">
        <f>200000+70000+80000</f>
        <v>350000</v>
      </c>
      <c r="F24" s="46">
        <v>60000</v>
      </c>
      <c r="G24" s="46">
        <f t="shared" si="0"/>
        <v>0</v>
      </c>
    </row>
    <row r="25" spans="2:14" x14ac:dyDescent="0.25">
      <c r="B25" s="44">
        <v>45950</v>
      </c>
      <c r="C25" s="45" t="s">
        <v>146</v>
      </c>
      <c r="D25" s="46">
        <v>4000000</v>
      </c>
      <c r="E25" s="46">
        <v>0</v>
      </c>
      <c r="F25" s="46">
        <v>200000</v>
      </c>
      <c r="G25" s="46">
        <f t="shared" si="0"/>
        <v>4000000</v>
      </c>
    </row>
    <row r="26" spans="2:14" x14ac:dyDescent="0.25">
      <c r="B26" s="44">
        <v>45797</v>
      </c>
      <c r="C26" s="45" t="s">
        <v>133</v>
      </c>
      <c r="D26" s="46">
        <f>1500000+10000000</f>
        <v>11500000</v>
      </c>
      <c r="E26" s="46">
        <v>0</v>
      </c>
      <c r="F26" s="46">
        <f>D26*C2</f>
        <v>575000</v>
      </c>
      <c r="G26" s="46">
        <f t="shared" si="0"/>
        <v>11500000</v>
      </c>
    </row>
    <row r="27" spans="2:14" x14ac:dyDescent="0.25">
      <c r="B27" s="44">
        <v>45989</v>
      </c>
      <c r="C27" s="45" t="s">
        <v>157</v>
      </c>
      <c r="D27" s="46">
        <v>2500000</v>
      </c>
      <c r="E27" s="46">
        <f>1700000+800000</f>
        <v>2500000</v>
      </c>
      <c r="F27" s="46">
        <v>0</v>
      </c>
      <c r="G27" s="46">
        <f t="shared" si="0"/>
        <v>0</v>
      </c>
      <c r="J27" s="55">
        <f>G9+G13+G17+G19+G29+10000000</f>
        <v>16950000</v>
      </c>
    </row>
    <row r="28" spans="2:14" x14ac:dyDescent="0.25">
      <c r="B28" s="44">
        <v>46053</v>
      </c>
      <c r="C28" s="45" t="s">
        <v>158</v>
      </c>
      <c r="D28" s="46">
        <v>800000</v>
      </c>
      <c r="E28" s="46">
        <v>800000</v>
      </c>
      <c r="F28" s="46">
        <v>40000</v>
      </c>
      <c r="G28" s="46">
        <f t="shared" si="0"/>
        <v>0</v>
      </c>
      <c r="J28" s="55">
        <f>J27/3063</f>
        <v>5533.7904015670911</v>
      </c>
    </row>
    <row r="29" spans="2:14" x14ac:dyDescent="0.25">
      <c r="B29" s="51">
        <v>46064</v>
      </c>
      <c r="C29" s="52" t="s">
        <v>159</v>
      </c>
      <c r="D29" s="53">
        <v>1500000</v>
      </c>
      <c r="E29" s="53">
        <f>800000+150000</f>
        <v>950000</v>
      </c>
      <c r="F29" s="53">
        <v>75000</v>
      </c>
      <c r="G29" s="53">
        <f t="shared" si="0"/>
        <v>550000</v>
      </c>
    </row>
    <row r="30" spans="2:14" x14ac:dyDescent="0.25">
      <c r="B30" s="44">
        <v>46042</v>
      </c>
      <c r="C30" s="45" t="s">
        <v>160</v>
      </c>
      <c r="D30" s="46">
        <v>600000</v>
      </c>
      <c r="E30" s="46">
        <v>0</v>
      </c>
      <c r="F30" s="46">
        <v>0</v>
      </c>
      <c r="G30" s="46">
        <f t="shared" si="0"/>
        <v>600000</v>
      </c>
    </row>
    <row r="31" spans="2:14" x14ac:dyDescent="0.25">
      <c r="B31" s="44">
        <v>46076</v>
      </c>
      <c r="C31" s="45" t="s">
        <v>161</v>
      </c>
      <c r="D31" s="46">
        <v>2500000</v>
      </c>
      <c r="E31" s="46">
        <v>0</v>
      </c>
      <c r="F31" s="46">
        <v>125000</v>
      </c>
      <c r="G31" s="46">
        <f t="shared" si="0"/>
        <v>2500000</v>
      </c>
    </row>
    <row r="32" spans="2:14" x14ac:dyDescent="0.25">
      <c r="B32" s="44">
        <v>46075</v>
      </c>
      <c r="C32" s="45" t="s">
        <v>162</v>
      </c>
      <c r="D32" s="46">
        <v>0</v>
      </c>
      <c r="E32" s="46">
        <v>0</v>
      </c>
      <c r="F32" s="46">
        <v>75000</v>
      </c>
      <c r="G32" s="46">
        <f t="shared" si="0"/>
        <v>0</v>
      </c>
    </row>
  </sheetData>
  <mergeCells count="2">
    <mergeCell ref="I3:N3"/>
    <mergeCell ref="P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Contratos Actuales</vt:lpstr>
      <vt:lpstr>Prestamos Personales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Mariaga</dc:creator>
  <cp:lastModifiedBy>Juan Francisco Mariaga</cp:lastModifiedBy>
  <dcterms:created xsi:type="dcterms:W3CDTF">2026-09-10T21:32:19Z</dcterms:created>
  <dcterms:modified xsi:type="dcterms:W3CDTF">2026-09-10T21:33:53Z</dcterms:modified>
</cp:coreProperties>
</file>